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85F6A776-6A74-4963-92A8-18281BD12BB5}" xr6:coauthVersionLast="44" xr6:coauthVersionMax="44" xr10:uidLastSave="{00000000-0000-0000-0000-000000000000}"/>
  <bookViews>
    <workbookView xWindow="-110" yWindow="-110" windowWidth="38620" windowHeight="21220" activeTab="2" xr2:uid="{791B15CC-68B2-4D54-B53E-4FED7E26F6F4}"/>
  </bookViews>
  <sheets>
    <sheet name="ImportQL" sheetId="2" r:id="rId1"/>
    <sheet name="Template" sheetId="3" r:id="rId2"/>
    <sheet name="Settings" sheetId="4" r:id="rId3"/>
  </sheets>
  <functionGroups builtInGroupCount="19"/>
  <externalReferences>
    <externalReference r:id="rId4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1">Template!$B$2:$O$40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C4" i="3"/>
  <c r="R3" i="3"/>
  <c r="R2" i="3"/>
  <c r="B2" i="3"/>
  <c r="AD10" i="3"/>
  <c r="AE10" i="3"/>
  <c r="AE11" i="3"/>
  <c r="Z12" i="3"/>
  <c r="AD9" i="3"/>
  <c r="Z13" i="3"/>
  <c r="AE14" i="3"/>
  <c r="AD13" i="3"/>
  <c r="Z9" i="3"/>
  <c r="AE12" i="3"/>
  <c r="V4" i="3"/>
  <c r="AE9" i="3"/>
  <c r="Z11" i="3"/>
  <c r="O9" i="3"/>
  <c r="R4" i="3"/>
  <c r="Z10" i="3"/>
  <c r="AE13" i="3"/>
  <c r="Z14" i="3"/>
  <c r="R5" i="3"/>
  <c r="AD11" i="3"/>
  <c r="T4" i="3"/>
  <c r="N11" i="3"/>
  <c r="AD14" i="3"/>
  <c r="T5" i="3"/>
  <c r="N9" i="3"/>
  <c r="AD12" i="3"/>
  <c r="V5" i="3"/>
  <c r="N6" i="3" l="1"/>
  <c r="N5" i="3" s="1"/>
  <c r="T6" i="3" s="1"/>
  <c r="N12" i="3"/>
  <c r="O11" i="3"/>
  <c r="AF13" i="3"/>
  <c r="Q10" i="3"/>
  <c r="Q11" i="3" s="1"/>
  <c r="Q12" i="3" s="1"/>
  <c r="Q13" i="3" s="1"/>
  <c r="Q14" i="3" s="1"/>
  <c r="Q15" i="3" s="1"/>
  <c r="Q16" i="3" s="1"/>
  <c r="AF9" i="3"/>
  <c r="O6" i="3"/>
  <c r="O5" i="3" s="1"/>
  <c r="V6" i="3" s="1"/>
  <c r="AF12" i="3"/>
  <c r="AF14" i="3"/>
  <c r="AF11" i="3"/>
  <c r="AF10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<sst xmlns="http://schemas.openxmlformats.org/spreadsheetml/2006/main" count="271" uniqueCount="242">
  <si>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</si>
  <si>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</si>
  <si>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</si>
  <si>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</si>
  <si>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</si>
  <si>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</si>
  <si>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</si>
  <si>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</si>
  <si>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</si>
  <si>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</si>
  <si>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</si>
  <si>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</si>
  <si>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</si>
  <si>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</si>
  <si>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</si>
  <si>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</si>
  <si>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</si>
  <si>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</si>
  <si>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</si>
  <si>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</si>
  <si>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</si>
  <si>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</si>
  <si>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</si>
  <si>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</si>
  <si>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</si>
  <si>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</si>
  <si>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</si>
  <si>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</si>
  <si>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</si>
  <si>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</si>
  <si>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</si>
  <si>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</si>
  <si>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</si>
  <si>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</si>
  <si>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</si>
  <si>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</si>
  <si>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</si>
  <si>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</si>
  <si>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</si>
  <si>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</si>
  <si>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</si>
  <si>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</si>
  <si>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</si>
  <si>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</si>
  <si>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</si>
  <si>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</si>
  <si>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</si>
  <si>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</si>
  <si>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</si>
  <si>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</si>
  <si>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</si>
  <si>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</si>
  <si>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</si>
  <si>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</si>
  <si>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</si>
  <si>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</si>
  <si>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</si>
  <si>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</si>
  <si>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</si>
  <si>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</si>
  <si>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</si>
  <si>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</si>
  <si>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</si>
  <si>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</si>
  <si>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</si>
  <si>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</si>
  <si>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</si>
  <si>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</si>
  <si>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</si>
  <si>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</si>
  <si>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</si>
  <si>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</si>
  <si>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</si>
  <si>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</si>
  <si>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</si>
  <si>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</si>
  <si>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</si>
  <si>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</si>
  <si>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</si>
  <si>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</si>
  <si>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</si>
  <si>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</si>
  <si>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</si>
  <si>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</si>
  <si>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</si>
  <si>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</si>
  <si>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</si>
  <si>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</si>
  <si>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</si>
  <si>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</si>
  <si>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</si>
  <si>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</si>
  <si>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</si>
  <si>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</si>
  <si>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</si>
  <si>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</si>
  <si>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</si>
  <si>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</si>
  <si>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</si>
  <si>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</si>
  <si>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</si>
  <si>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</si>
  <si>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</si>
  <si>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</si>
  <si>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</si>
  <si>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</si>
  <si>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</si>
  <si>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</si>
  <si>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</si>
  <si>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</si>
  <si>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</si>
  <si>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</si>
  <si>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</si>
  <si>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</si>
  <si>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</si>
  <si>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</si>
  <si>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</si>
  <si>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</si>
  <si>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</si>
  <si>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</si>
  <si>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</si>
  <si>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</si>
  <si>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</si>
  <si>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</si>
  <si>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</si>
  <si>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</si>
  <si>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</si>
  <si>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</si>
  <si>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</si>
  <si>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</si>
  <si>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</si>
  <si>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</si>
  <si>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</si>
  <si>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</si>
  <si>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</si>
  <si>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</si>
  <si>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</si>
  <si>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</si>
  <si>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</si>
  <si>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</si>
  <si>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</si>
  <si>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</si>
  <si>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</si>
  <si>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</si>
  <si>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</si>
  <si>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</si>
  <si>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</si>
  <si>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</si>
  <si>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</si>
  <si>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</si>
  <si>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</si>
  <si>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</si>
  <si>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</si>
  <si>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</si>
  <si>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</si>
  <si>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</si>
  <si>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</si>
  <si>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</si>
  <si>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</si>
  <si>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</si>
  <si>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</si>
  <si>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</si>
  <si>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</si>
  <si>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</si>
  <si>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</si>
  <si>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</si>
  <si>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</si>
  <si>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</si>
  <si>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</si>
  <si>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</si>
  <si>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</si>
  <si>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</si>
  <si>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</si>
  <si>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</si>
  <si>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</si>
  <si>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</si>
  <si>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</si>
  <si>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</si>
  <si>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</si>
  <si>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</si>
  <si>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</si>
  <si>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</si>
  <si>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</si>
  <si>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</si>
  <si>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</si>
  <si>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</si>
  <si>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</si>
  <si>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</si>
  <si>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</si>
  <si>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</si>
  <si>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</si>
  <si>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</si>
  <si>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</si>
  <si>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</si>
  <si>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</si>
  <si>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</si>
  <si>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</si>
  <si>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</si>
  <si>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</si>
  <si>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</si>
  <si>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</si>
  <si>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</si>
  <si>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</si>
  <si>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</si>
  <si>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>C:\Users\camron\code\uip-master\QuantityLinks\Test PDF File.pdf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</si>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</sst>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55">
    <xf numFmtId="0" fontId="0" fillId="0" borderId="0" xfId="0"/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3" fillId="3" borderId="5" xfId="3" applyBorder="1"/>
    <xf numFmtId="0" fontId="2" fillId="2" borderId="5" xfId="2" applyBorder="1"/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3" fillId="3" borderId="5" xfId="3" applyNumberFormat="1" applyBorder="1"/>
    <xf numFmtId="0" fontId="8" fillId="0" borderId="9" xfId="0" applyFont="1" applyBorder="1" applyAlignment="1">
      <alignment horizontal="right" vertical="center" indent="1"/>
    </xf>
    <xf numFmtId="0" fontId="8" fillId="0" borderId="0" xfId="0" applyFont="1"/>
    <xf numFmtId="0" fontId="9" fillId="0" borderId="10" xfId="0" applyFont="1" applyBorder="1" applyAlignment="1">
      <alignment horizontal="center" vertical="center"/>
    </xf>
    <xf numFmtId="10" fontId="9" fillId="0" borderId="10" xfId="0" applyNumberFormat="1" applyFont="1" applyBorder="1" applyAlignment="1">
      <alignment horizontal="center" vertical="center"/>
    </xf>
    <xf numFmtId="10" fontId="9" fillId="0" borderId="11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right" vertical="center" indent="1"/>
    </xf>
    <xf numFmtId="164" fontId="8" fillId="0" borderId="5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8" fillId="0" borderId="5" xfId="0" applyNumberFormat="1" applyFont="1" applyBorder="1" applyAlignment="1">
      <alignment horizontal="center" vertical="center"/>
    </xf>
    <xf numFmtId="3" fontId="8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8" fillId="0" borderId="9" xfId="0" applyFont="1" applyBorder="1"/>
    <xf numFmtId="0" fontId="8" fillId="0" borderId="0" xfId="0" applyFont="1"/>
    <xf numFmtId="14" fontId="0" fillId="0" borderId="0" xfId="0" applyNumberFormat="1"/>
    <xf numFmtId="1" fontId="8" fillId="0" borderId="5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8" fillId="0" borderId="5" xfId="0" applyFont="1" applyBorder="1" applyAlignment="1">
      <alignment horizontal="right" indent="1"/>
    </xf>
    <xf numFmtId="14" fontId="8" fillId="0" borderId="5" xfId="0" applyNumberFormat="1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14" fontId="8" fillId="0" borderId="12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right" wrapText="1" indent="1"/>
    </xf>
    <xf numFmtId="0" fontId="10" fillId="0" borderId="14" xfId="0" applyFont="1" applyBorder="1" applyAlignment="1">
      <alignment horizontal="right" wrapText="1" indent="1"/>
    </xf>
    <xf numFmtId="0" fontId="10" fillId="0" borderId="15" xfId="0" applyFont="1" applyBorder="1"/>
    <xf numFmtId="0" fontId="10" fillId="0" borderId="15" xfId="0" applyFont="1" applyBorder="1" applyAlignment="1">
      <alignment horizontal="right" wrapText="1" indent="1"/>
    </xf>
    <xf numFmtId="0" fontId="10" fillId="0" borderId="16" xfId="0" applyFont="1" applyBorder="1" applyAlignment="1">
      <alignment horizontal="right" wrapText="1" indent="1"/>
    </xf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17" xfId="0" applyFont="1" applyBorder="1"/>
    <xf numFmtId="165" fontId="0" fillId="0" borderId="0" xfId="0" applyNumberFormat="1"/>
    <xf numFmtId="0" fontId="8" fillId="0" borderId="18" xfId="0" applyFont="1" applyBorder="1"/>
    <xf numFmtId="0" fontId="8" fillId="0" borderId="15" xfId="0" applyFont="1" applyBorder="1"/>
    <xf numFmtId="0" fontId="8" fillId="0" borderId="16" xfId="0" applyFont="1" applyBorder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0665EE1-9301-49D5-8739-CC76EA8ED1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3B2351-D60E-4974-BDE3-BFA86737B3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CC48FB-ED81-49D0-9FAB-0BDB04F91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3911D4-6E27-44BA-AAE4-05321CC313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921E34-6331-4F5D-8A1D-4614C0D6E8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6FA8C3-95F0-4964-BB6A-79AB5D7C3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D1027A-1DC1-415B-BA87-409FD783E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3DA615-5BFF-497B-BCAE-CB5539D8D1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193390-37E2-4A15-B18F-D1535E4A7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5EB965-1363-4ACD-ABE3-ABC6318DEF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B6B82C-9562-4EC7-8BCD-24A2FC354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C73FD3-B4C5-4B83-9DD9-CE6116EB9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417D91-5BB8-4D8E-A31F-001153DBCC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FDB23C-85D8-490A-8A3E-B91BC2FBE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B7B03-679C-4A5D-8C70-F8E7E3E57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</xdr:row>
          <xdr:rowOff>76200</xdr:rowOff>
        </xdr:from>
        <xdr:to>
          <xdr:col>24</xdr:col>
          <xdr:colOff>488950</xdr:colOff>
          <xdr:row>3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DBC6EE5-C05E-411A-8141-7EFF06E2B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4</xdr:row>
          <xdr:rowOff>38100</xdr:rowOff>
        </xdr:from>
        <xdr:to>
          <xdr:col>24</xdr:col>
          <xdr:colOff>488950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C93710C-81B0-4A19-A500-85DF3E870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69850</xdr:colOff>
          <xdr:row>1</xdr:row>
          <xdr:rowOff>88900</xdr:rowOff>
        </xdr:from>
        <xdr:to>
          <xdr:col>25</xdr:col>
          <xdr:colOff>1803400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3066E66-BCA5-44EF-96D8-360C9272D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76200</xdr:rowOff>
        </xdr:from>
        <xdr:to>
          <xdr:col>27</xdr:col>
          <xdr:colOff>952500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A333DD7-98A9-4CB7-A2AE-ABCB65102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7AD099-E530-48BF-B98B-103F05B3B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ExportActiveTrade"/>
      <definedName name="UpdateDataLinks"/>
      <definedName name="UpdateProduction"/>
      <definedName name="UpdateProductionPlan"/>
    </definedNames>
    <sheetDataSet>
      <sheetData sheetId="0"/>
      <sheetData sheetId="1" refreshError="1"/>
      <sheetData sheetId="2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  <row r="9">
          <cell r="R9" t="str">
            <v>Weekly Plan</v>
          </cell>
          <cell r="S9" t="str">
            <v>Weekly Actual</v>
          </cell>
          <cell r="T9" t="str">
            <v>Accumulated Plan</v>
          </cell>
          <cell r="U9" t="str">
            <v>Accumulated Actual</v>
          </cell>
        </row>
        <row r="10">
          <cell r="Q10" t="e">
            <v>#NUM!</v>
          </cell>
          <cell r="R10">
            <v>100</v>
          </cell>
          <cell r="T10">
            <v>100</v>
          </cell>
          <cell r="U10" t="e">
            <v>#N/A</v>
          </cell>
          <cell r="V10" t="str">
            <v>Temp</v>
          </cell>
        </row>
        <row r="11">
          <cell r="Q11" t="e">
            <v>#NUM!</v>
          </cell>
          <cell r="R11">
            <v>100</v>
          </cell>
          <cell r="T11">
            <v>200</v>
          </cell>
          <cell r="U11" t="e">
            <v>#N/A</v>
          </cell>
          <cell r="V11" t="str">
            <v>A</v>
          </cell>
        </row>
        <row r="12">
          <cell r="Q12" t="e">
            <v>#NUM!</v>
          </cell>
          <cell r="R12">
            <v>100</v>
          </cell>
          <cell r="T12">
            <v>300</v>
          </cell>
          <cell r="U12" t="e">
            <v>#N/A</v>
          </cell>
          <cell r="V12" t="str">
            <v>A</v>
          </cell>
        </row>
        <row r="13">
          <cell r="Q13" t="e">
            <v>#NUM!</v>
          </cell>
          <cell r="R13">
            <v>100</v>
          </cell>
          <cell r="T13">
            <v>400</v>
          </cell>
          <cell r="U13" t="e">
            <v>#N/A</v>
          </cell>
          <cell r="V13" t="str">
            <v>A</v>
          </cell>
        </row>
        <row r="14">
          <cell r="Q14" t="e">
            <v>#NUM!</v>
          </cell>
          <cell r="R14">
            <v>100</v>
          </cell>
          <cell r="T14">
            <v>500</v>
          </cell>
          <cell r="U14" t="e">
            <v>#N/A</v>
          </cell>
          <cell r="V14" t="str">
            <v>A</v>
          </cell>
        </row>
        <row r="15">
          <cell r="Q15" t="e">
            <v>#NUM!</v>
          </cell>
          <cell r="R15">
            <v>100</v>
          </cell>
          <cell r="T15">
            <v>600</v>
          </cell>
          <cell r="U15" t="e">
            <v>#N/A</v>
          </cell>
          <cell r="V15" t="str">
            <v>A</v>
          </cell>
        </row>
        <row r="16">
          <cell r="Q16" t="e">
            <v>#NUM!</v>
          </cell>
          <cell r="R16">
            <v>100</v>
          </cell>
          <cell r="T16">
            <v>700</v>
          </cell>
          <cell r="U16" t="e">
            <v>#N/A</v>
          </cell>
          <cell r="V16" t="str">
            <v>A</v>
          </cell>
        </row>
        <row r="17">
          <cell r="Q17" t="e">
            <v>#NUM!</v>
          </cell>
          <cell r="R17">
            <v>100</v>
          </cell>
          <cell r="T17">
            <v>800</v>
          </cell>
          <cell r="U17" t="e">
            <v>#N/A</v>
          </cell>
          <cell r="V17" t="str">
            <v>A</v>
          </cell>
        </row>
        <row r="18">
          <cell r="Q18" t="e">
            <v>#NUM!</v>
          </cell>
          <cell r="R18">
            <v>100</v>
          </cell>
          <cell r="T18">
            <v>900</v>
          </cell>
          <cell r="U18" t="e">
            <v>#N/A</v>
          </cell>
          <cell r="V18" t="str">
            <v>A</v>
          </cell>
        </row>
        <row r="19">
          <cell r="Q19" t="e">
            <v>#NUM!</v>
          </cell>
          <cell r="R19">
            <v>100</v>
          </cell>
          <cell r="T19">
            <v>1000</v>
          </cell>
          <cell r="U19" t="e">
            <v>#N/A</v>
          </cell>
          <cell r="V19" t="str">
            <v>A</v>
          </cell>
        </row>
        <row r="20">
          <cell r="Q20" t="e">
            <v>#NUM!</v>
          </cell>
          <cell r="R20">
            <v>100</v>
          </cell>
          <cell r="T20">
            <v>1100</v>
          </cell>
          <cell r="U20" t="e">
            <v>#N/A</v>
          </cell>
          <cell r="V20" t="str">
            <v>A</v>
          </cell>
        </row>
        <row r="21">
          <cell r="Q21" t="e">
            <v>#NUM!</v>
          </cell>
          <cell r="R21">
            <v>100</v>
          </cell>
          <cell r="T21">
            <v>1200</v>
          </cell>
          <cell r="U21" t="e">
            <v>#N/A</v>
          </cell>
          <cell r="V21" t="str">
            <v>A</v>
          </cell>
        </row>
        <row r="22">
          <cell r="Q22" t="e">
            <v>#NUM!</v>
          </cell>
          <cell r="R22">
            <v>100</v>
          </cell>
          <cell r="T22">
            <v>1300</v>
          </cell>
          <cell r="U22" t="e">
            <v>#N/A</v>
          </cell>
          <cell r="V22" t="str">
            <v>A</v>
          </cell>
        </row>
      </sheetData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17"/>
    <tableColumn id="2" xr3:uid="{BA47FC0A-4539-4347-8F64-2016E045C96A}" uniqueName="2" name="Description" queryTableFieldId="2" dataDxfId="16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10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9" dataCellStyle="Input"/>
    <tableColumn id="2" xr3:uid="{498B4F4D-675D-4DD7-9D82-9EB31250D6D5}" name="Name 2" dataCellStyle="Input"/>
    <tableColumn id="3" xr3:uid="{0288AD8A-4CF7-4A2B-99B3-AE7EF70354EC}" name="Description" dataDxfId="8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7" dataCellStyle="Input"/>
    <tableColumn id="5" xr3:uid="{7118FEE9-F494-487A-801B-2AA726B6FFC1}" name="Finish Date" dataDxfId="6" dataCellStyle="Input"/>
    <tableColumn id="6" xr3:uid="{B6959521-DB5F-43A3-87AC-531264378323}" name="Total" dataDxfId="5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4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3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1">
      <calculatedColumnFormula>SUM($R$10:R10)</calculatedColumnFormula>
    </tableColumn>
    <tableColumn id="5" xr3:uid="{5C79CEA8-DC0A-4C98-84FE-BA46E2D9A7B1}" name="Accumulated Actual" dataDxfId="0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X28" sqref="X28"/>
    </sheetView>
  </sheetViews>
  <sheetFormatPr defaultRowHeight="14.5" x14ac:dyDescent="0.35"/>
  <cols>
    <col min="1" max="1" width="6.1796875" bestFit="1" customWidth="1"/>
    <col min="2" max="2" width="24.90625" bestFit="1" customWidth="1"/>
    <col min="3" max="3" width="9.6328125" bestFit="1" customWidth="1"/>
    <col min="4" max="4" width="12" bestFit="1" customWidth="1"/>
    <col min="5" max="5" width="7.36328125" bestFit="1" customWidth="1"/>
    <col min="6" max="7" width="4.08984375" bestFit="1" customWidth="1"/>
    <col min="8" max="12" width="5.08984375" bestFit="1" customWidth="1"/>
    <col min="13" max="13" width="13.08984375" bestFit="1" customWidth="1"/>
    <col min="14" max="14" width="17.08984375" bestFit="1" customWidth="1"/>
    <col min="15" max="15" width="13.81640625" bestFit="1" customWidth="1"/>
    <col min="16" max="18" width="14.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19</v>
      </c>
    </row>
    <row r="3" spans="1:18" x14ac:dyDescent="0.35">
      <c r="A3" t="s">
        <v>20</v>
      </c>
      <c r="B3" t="s">
        <v>19</v>
      </c>
    </row>
    <row r="4" spans="1:18" x14ac:dyDescent="0.35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35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35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35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35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35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35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35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35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35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35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35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35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35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35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35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35">
      <c r="A20" t="s">
        <v>53</v>
      </c>
      <c r="B20" t="s">
        <v>54</v>
      </c>
      <c r="N20">
        <v>0</v>
      </c>
    </row>
    <row r="21" spans="1:17" x14ac:dyDescent="0.35">
      <c r="A21" t="s">
        <v>55</v>
      </c>
      <c r="B21" t="s">
        <v>56</v>
      </c>
      <c r="N21">
        <v>0</v>
      </c>
    </row>
    <row r="22" spans="1:17" x14ac:dyDescent="0.35">
      <c r="A22" t="s">
        <v>57</v>
      </c>
      <c r="B22" t="s">
        <v>58</v>
      </c>
      <c r="N22">
        <v>0</v>
      </c>
    </row>
    <row r="23" spans="1:17" x14ac:dyDescent="0.35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35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35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35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35">
      <c r="A27" t="s">
        <v>67</v>
      </c>
      <c r="B27" t="s">
        <v>68</v>
      </c>
      <c r="N27">
        <v>0</v>
      </c>
    </row>
    <row r="28" spans="1:17" x14ac:dyDescent="0.35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35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35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35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35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35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35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35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35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35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35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35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35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35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35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35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35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35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35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35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35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35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35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35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35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35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35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35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35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35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35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35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35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35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35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35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35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35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35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35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35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35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35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35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35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35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35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35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35">
      <c r="A76" t="s">
        <v>165</v>
      </c>
      <c r="B76" t="s">
        <v>70</v>
      </c>
      <c r="N76">
        <v>0</v>
      </c>
    </row>
    <row r="77" spans="1:15" x14ac:dyDescent="0.35">
      <c r="A77" t="s">
        <v>166</v>
      </c>
      <c r="B77" t="s">
        <v>72</v>
      </c>
      <c r="N77">
        <v>0</v>
      </c>
    </row>
    <row r="78" spans="1:15" x14ac:dyDescent="0.35">
      <c r="A78" t="s">
        <v>167</v>
      </c>
      <c r="B78" t="s">
        <v>74</v>
      </c>
      <c r="N78">
        <v>0</v>
      </c>
    </row>
    <row r="79" spans="1:15" x14ac:dyDescent="0.35">
      <c r="A79" t="s">
        <v>168</v>
      </c>
      <c r="B79" t="s">
        <v>76</v>
      </c>
      <c r="N79">
        <v>0</v>
      </c>
    </row>
    <row r="80" spans="1:15" x14ac:dyDescent="0.35">
      <c r="A80" t="s">
        <v>169</v>
      </c>
      <c r="B80" t="s">
        <v>78</v>
      </c>
      <c r="N80">
        <v>0</v>
      </c>
    </row>
    <row r="81" spans="1:18" x14ac:dyDescent="0.35">
      <c r="A81" t="s">
        <v>170</v>
      </c>
      <c r="B81" t="s">
        <v>80</v>
      </c>
      <c r="N81">
        <v>0</v>
      </c>
    </row>
    <row r="82" spans="1:18" x14ac:dyDescent="0.35">
      <c r="A82" t="s">
        <v>171</v>
      </c>
      <c r="B82" t="s">
        <v>82</v>
      </c>
      <c r="N82">
        <v>0</v>
      </c>
    </row>
    <row r="83" spans="1:18" x14ac:dyDescent="0.35">
      <c r="A83" t="s">
        <v>172</v>
      </c>
      <c r="B83" t="s">
        <v>84</v>
      </c>
      <c r="N83">
        <v>0</v>
      </c>
    </row>
    <row r="84" spans="1:18" x14ac:dyDescent="0.35">
      <c r="A84" t="s">
        <v>173</v>
      </c>
      <c r="B84" t="s">
        <v>86</v>
      </c>
      <c r="N84">
        <v>0</v>
      </c>
    </row>
    <row r="85" spans="1:18" x14ac:dyDescent="0.35">
      <c r="A85" t="s">
        <v>174</v>
      </c>
      <c r="B85" t="s">
        <v>88</v>
      </c>
      <c r="N85">
        <v>0</v>
      </c>
    </row>
    <row r="86" spans="1:18" x14ac:dyDescent="0.35">
      <c r="A86" t="s">
        <v>175</v>
      </c>
      <c r="B86" t="s">
        <v>90</v>
      </c>
      <c r="N86">
        <v>0</v>
      </c>
    </row>
    <row r="87" spans="1:18" x14ac:dyDescent="0.35">
      <c r="A87" t="s">
        <v>176</v>
      </c>
      <c r="B87" t="s">
        <v>92</v>
      </c>
      <c r="N87">
        <v>0</v>
      </c>
    </row>
    <row r="88" spans="1:18" x14ac:dyDescent="0.35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35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35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35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35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35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35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35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35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35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35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35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S33" sqref="S33"/>
    </sheetView>
  </sheetViews>
  <sheetFormatPr defaultColWidth="9.1796875" defaultRowHeight="14.5" x14ac:dyDescent="0.35"/>
  <cols>
    <col min="1" max="1" width="2.81640625" customWidth="1"/>
    <col min="2" max="2" width="18.26953125" customWidth="1"/>
    <col min="3" max="3" width="9.1796875" customWidth="1"/>
    <col min="9" max="9" width="6.26953125" customWidth="1"/>
    <col min="12" max="13" width="9.453125" customWidth="1"/>
    <col min="14" max="15" width="10.7265625" customWidth="1"/>
    <col min="16" max="16" width="2.81640625" customWidth="1"/>
    <col min="17" max="17" width="14.81640625" customWidth="1"/>
    <col min="18" max="18" width="16" customWidth="1"/>
    <col min="19" max="19" width="19.26953125" customWidth="1"/>
    <col min="20" max="20" width="20.26953125" customWidth="1"/>
    <col min="21" max="21" width="22.1796875" customWidth="1"/>
    <col min="22" max="22" width="16.7265625" customWidth="1"/>
    <col min="23" max="23" width="2.81640625" customWidth="1"/>
    <col min="24" max="25" width="7.7265625" bestFit="1" customWidth="1"/>
    <col min="26" max="26" width="28.1796875" bestFit="1" customWidth="1"/>
    <col min="27" max="27" width="5.1796875" customWidth="1"/>
    <col min="28" max="28" width="14.453125" bestFit="1" customWidth="1"/>
    <col min="29" max="29" width="15.1796875" customWidth="1"/>
    <col min="30" max="31" width="10.54296875" customWidth="1"/>
    <col min="32" max="32" width="8.26953125" customWidth="1"/>
  </cols>
  <sheetData>
    <row r="1" spans="2:32" ht="15" customHeight="1" thickBot="1" x14ac:dyDescent="0.4">
      <c r="X1" s="1" t="s">
        <v>201</v>
      </c>
      <c r="Y1" s="1"/>
      <c r="Z1" s="2" t="s">
        <v>201</v>
      </c>
    </row>
    <row r="2" spans="2:32" ht="15" customHeight="1" x14ac:dyDescent="0.35">
      <c r="B2" s="3" t="str">
        <f>_xlfn.CONCAT("PROGRESS REPORT WEEK OF ", TEXT(R3,"mm/dd/yyyy"))</f>
        <v>PROGRESS REPORT WEEK OF 02/25/2019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6" t="s">
        <v>202</v>
      </c>
      <c r="R2" s="7" t="str">
        <f ca="1">MID(CELL("filename",B1),FIND("]",CELL("filename",B1))+1,LEN(CELL("filename",B1))-FIND("]",CELL("filename",B1)))</f>
        <v>Template</v>
      </c>
      <c r="S2" s="6" t="s">
        <v>203</v>
      </c>
      <c r="T2" s="8" t="s">
        <v>204</v>
      </c>
      <c r="U2" s="8"/>
      <c r="V2" s="8"/>
      <c r="X2" s="1"/>
      <c r="Y2" s="1"/>
      <c r="Z2" s="2"/>
    </row>
    <row r="3" spans="2:32" ht="15" customHeight="1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1"/>
      <c r="Q3" s="6" t="s">
        <v>205</v>
      </c>
      <c r="R3" s="12">
        <f>[1]Index!$D$8</f>
        <v>43521</v>
      </c>
      <c r="S3" s="6" t="s">
        <v>206</v>
      </c>
      <c r="T3" s="8"/>
      <c r="U3" s="8"/>
      <c r="V3" s="8"/>
      <c r="X3" s="1"/>
      <c r="Y3" s="1"/>
      <c r="Z3" s="2"/>
    </row>
    <row r="4" spans="2:32" ht="15.5" x14ac:dyDescent="0.35">
      <c r="B4" s="13" t="s">
        <v>207</v>
      </c>
      <c r="C4" s="14" t="str">
        <f>[1]Index!$D$6</f>
        <v>Herriman High 2</v>
      </c>
      <c r="D4" s="14"/>
      <c r="E4" s="14"/>
      <c r="F4" s="14"/>
      <c r="G4" s="14"/>
      <c r="H4" s="14"/>
      <c r="I4" s="14"/>
      <c r="J4" s="15" t="s">
        <v>1</v>
      </c>
      <c r="K4" s="15"/>
      <c r="L4" s="15"/>
      <c r="M4" s="15"/>
      <c r="N4" s="16" t="s">
        <v>208</v>
      </c>
      <c r="O4" s="17" t="s">
        <v>209</v>
      </c>
      <c r="Q4" s="6" t="s">
        <v>210</v>
      </c>
      <c r="R4" s="12" t="e">
        <f ca="1">MIN(INDIRECT("Input_"&amp;$R$2&amp;"[Start Date]")) - WEEKDAY(MIN(INDIRECT("Input_"&amp;$R$2&amp;"[Start Date]")) - 2)</f>
        <v>#NUM!</v>
      </c>
      <c r="S4" s="6" t="s">
        <v>211</v>
      </c>
      <c r="T4" s="7">
        <f ca="1">SUM(INDIRECT("Main_"&amp;$R$2&amp;"[Weekly Plan]"))</f>
        <v>1300</v>
      </c>
      <c r="U4" s="6" t="s">
        <v>212</v>
      </c>
      <c r="V4" s="7" t="e">
        <f ca="1">SUM(INDIRECT("Input_"&amp;$R$2&amp;"[Total]"))</f>
        <v>#REF!</v>
      </c>
      <c r="X4" s="1"/>
      <c r="Y4" s="1"/>
      <c r="Z4" s="2"/>
    </row>
    <row r="5" spans="2:32" ht="15.5" x14ac:dyDescent="0.35">
      <c r="B5" s="13" t="s">
        <v>213</v>
      </c>
      <c r="C5" s="14" t="str">
        <f>[1]Index!$D$7</f>
        <v>W1027</v>
      </c>
      <c r="D5" s="14"/>
      <c r="E5" s="14"/>
      <c r="F5" s="14"/>
      <c r="G5" s="14"/>
      <c r="H5" s="14"/>
      <c r="I5" s="14"/>
      <c r="J5" s="18" t="s">
        <v>214</v>
      </c>
      <c r="K5" s="18"/>
      <c r="L5" s="18"/>
      <c r="M5" s="18"/>
      <c r="N5" s="19">
        <f ca="1">IF(ISERROR(N7/N6), 0, N7/N6)</f>
        <v>0.53846153846153844</v>
      </c>
      <c r="O5" s="20">
        <f ca="1">IF(ISERROR(O7/O6), 0, O7/O6)</f>
        <v>0</v>
      </c>
      <c r="Q5" s="6" t="s">
        <v>215</v>
      </c>
      <c r="R5" s="12">
        <f ca="1">MAX(INDIRECT("Input_"&amp;$R$2&amp;"[Finish Date]"))</f>
        <v>0</v>
      </c>
      <c r="S5" s="6" t="s">
        <v>216</v>
      </c>
      <c r="T5" s="7">
        <f ca="1">SUM(INDIRECT("Main_"&amp;$R$2&amp;"[Weekly Actual]"))</f>
        <v>0</v>
      </c>
      <c r="U5" s="6" t="s">
        <v>217</v>
      </c>
      <c r="V5" s="7" t="e">
        <f ca="1">SUM(INDIRECT("Input_"&amp;$R$2&amp;"[Completed Total]"))</f>
        <v>#REF!</v>
      </c>
      <c r="X5" s="21"/>
      <c r="Y5" s="21"/>
      <c r="Z5" s="2"/>
    </row>
    <row r="6" spans="2:32" ht="15.5" x14ac:dyDescent="0.35">
      <c r="B6" s="13" t="s">
        <v>218</v>
      </c>
      <c r="C6" s="14" t="str">
        <f>[1]Index!G78</f>
        <v>XYZ Corp</v>
      </c>
      <c r="D6" s="14"/>
      <c r="E6" s="14"/>
      <c r="F6" s="14"/>
      <c r="G6" s="14"/>
      <c r="H6" s="14"/>
      <c r="I6" s="14"/>
      <c r="J6" s="18" t="str">
        <f>_xlfn.CONCAT("Overall Totals (", IF(ISBLANK($R$6),"",$R$6), ")")</f>
        <v>Overall Totals ()</v>
      </c>
      <c r="K6" s="18"/>
      <c r="L6" s="18"/>
      <c r="M6" s="18"/>
      <c r="N6" s="22">
        <f ca="1">$T$4</f>
        <v>1300</v>
      </c>
      <c r="O6" s="23" t="e">
        <f ca="1">$V$4</f>
        <v>#REF!</v>
      </c>
      <c r="Q6" s="6" t="s">
        <v>219</v>
      </c>
      <c r="R6" s="24"/>
      <c r="S6" s="6" t="s">
        <v>220</v>
      </c>
      <c r="T6" s="25">
        <f ca="1">1-$N$5</f>
        <v>0.46153846153846156</v>
      </c>
      <c r="U6" s="6" t="s">
        <v>221</v>
      </c>
      <c r="V6" s="25">
        <f ca="1">1-$O$5</f>
        <v>1</v>
      </c>
      <c r="X6" s="21"/>
      <c r="Y6" s="21"/>
      <c r="Z6" s="2"/>
    </row>
    <row r="7" spans="2:32" ht="15.5" x14ac:dyDescent="0.35">
      <c r="B7" s="13" t="s">
        <v>222</v>
      </c>
      <c r="C7" s="14" t="str">
        <f>[1]Index!F78</f>
        <v>Sample Trade</v>
      </c>
      <c r="D7" s="14"/>
      <c r="E7" s="14"/>
      <c r="F7" s="14"/>
      <c r="G7" s="14"/>
      <c r="H7" s="14"/>
      <c r="I7" s="14"/>
      <c r="J7" s="18" t="str">
        <f>_xlfn.CONCAT("Overall Completed Totals (", IF(ISBLANK($R$6),"",$R$6), ")")</f>
        <v>Overall Completed Totals ()</v>
      </c>
      <c r="K7" s="18"/>
      <c r="L7" s="18"/>
      <c r="M7" s="18"/>
      <c r="N7" s="22">
        <f>$T$16</f>
        <v>700</v>
      </c>
      <c r="O7" s="23" t="e">
        <f>$U$16</f>
        <v>#N/A</v>
      </c>
      <c r="Q7" s="6" t="s">
        <v>223</v>
      </c>
      <c r="R7" s="24" t="str">
        <f>CountSaturdays</f>
        <v>NO</v>
      </c>
      <c r="S7" s="26" t="s">
        <v>224</v>
      </c>
      <c r="T7" s="27">
        <f>Default_Run_Date</f>
        <v>43066</v>
      </c>
      <c r="V7" s="28"/>
      <c r="X7" s="21"/>
      <c r="Y7" s="21"/>
      <c r="Z7" s="2"/>
    </row>
    <row r="8" spans="2:32" ht="15.5" x14ac:dyDescent="0.35">
      <c r="B8" s="29"/>
      <c r="C8" s="30"/>
      <c r="D8" s="30"/>
      <c r="E8" s="30"/>
      <c r="F8" s="30"/>
      <c r="G8" s="30"/>
      <c r="H8" s="30"/>
      <c r="I8" s="30"/>
      <c r="J8" s="18" t="str">
        <f>_xlfn.CONCAT("This Week's Production (", IF(ISBLANK($R$6),"",$R$6), ")")</f>
        <v>This Week's Production ()</v>
      </c>
      <c r="K8" s="18"/>
      <c r="L8" s="18"/>
      <c r="M8" s="18"/>
      <c r="N8" s="22">
        <f>$R$16</f>
        <v>100</v>
      </c>
      <c r="O8" s="23">
        <f>$S$16</f>
        <v>0</v>
      </c>
      <c r="X8" t="s">
        <v>225</v>
      </c>
      <c r="Y8" t="s">
        <v>226</v>
      </c>
      <c r="Z8" t="s">
        <v>1</v>
      </c>
      <c r="AA8" t="s">
        <v>227</v>
      </c>
      <c r="AB8" s="31" t="s">
        <v>228</v>
      </c>
      <c r="AC8" s="31" t="s">
        <v>229</v>
      </c>
      <c r="AD8" t="s">
        <v>4</v>
      </c>
      <c r="AE8" t="s">
        <v>13</v>
      </c>
      <c r="AF8" t="s">
        <v>230</v>
      </c>
    </row>
    <row r="9" spans="2:32" ht="15.5" x14ac:dyDescent="0.35">
      <c r="B9" s="29"/>
      <c r="C9" s="30"/>
      <c r="D9" s="30"/>
      <c r="E9" s="30"/>
      <c r="F9" s="30"/>
      <c r="G9" s="30"/>
      <c r="H9" s="30"/>
      <c r="I9" s="30"/>
      <c r="J9" s="18" t="str">
        <f>_xlfn.CONCAT("Weekly Average (", IF(ISBLANK($R$6),"",$R$6), ")")</f>
        <v>Weekly Average ()</v>
      </c>
      <c r="K9" s="18"/>
      <c r="L9" s="18"/>
      <c r="M9" s="18"/>
      <c r="N9" s="32">
        <f ca="1">AVERAGE(INDIRECT("Main_"&amp;$R$2&amp;"[Weekly Plan]"))</f>
        <v>100</v>
      </c>
      <c r="O9" s="33" t="e">
        <f ca="1">AVERAGE(INDIRECT("Main_"&amp;$R$2&amp;"[Weekly Actual]"))</f>
        <v>#DIV/0!</v>
      </c>
      <c r="Q9" t="s">
        <v>231</v>
      </c>
      <c r="R9" t="s">
        <v>232</v>
      </c>
      <c r="S9" t="s">
        <v>233</v>
      </c>
      <c r="T9" t="s">
        <v>234</v>
      </c>
      <c r="U9" t="s">
        <v>235</v>
      </c>
      <c r="V9" t="s">
        <v>236</v>
      </c>
      <c r="X9" s="34"/>
      <c r="Y9" s="34"/>
      <c r="Z9" t="e">
        <f ca="1">INDEX([1]!UIP_Main[#Data], MATCH(Input_Template[[#This Row],[Name 1]],[1]!UIP_Main[UID],0), MATCH(INDIRECT("Input_"&amp;$R$2&amp;"[[#Headers],[Description]]"), [1]!UIP_Main[#Headers], 0))</f>
        <v>#REF!</v>
      </c>
      <c r="AA9" s="34"/>
      <c r="AB9" s="27"/>
      <c r="AC9" s="27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9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0" spans="2:32" ht="15.5" x14ac:dyDescent="0.35">
      <c r="B10" s="29"/>
      <c r="C10" s="30"/>
      <c r="D10" s="30"/>
      <c r="E10" s="30"/>
      <c r="F10" s="30"/>
      <c r="G10" s="30"/>
      <c r="H10" s="30"/>
      <c r="I10" s="30"/>
      <c r="J10" s="18" t="str">
        <f>_xlfn.CONCAT("Average Past 4 Weeks (", IF(ISBLANK($R$6),"",$R$6), ")")</f>
        <v>Average Past 4 Weeks ()</v>
      </c>
      <c r="K10" s="18"/>
      <c r="L10" s="18"/>
      <c r="M10" s="18"/>
      <c r="N10" s="32" t="e">
        <f ca="1">(VLOOKUP($R$3,INDIRECT("Main_"&amp;$R$2), 2)+VLOOKUP($R$3-7,INDIRECT("Main_"&amp;$R$2), 2)+VLOOKUP($R$3-14,INDIRECT("Main_"&amp;$R$2), 2)+VLOOKUP($R$3-21,INDIRECT("Main_"&amp;$R$2), 2))/4</f>
        <v>#N/A</v>
      </c>
      <c r="O10" s="33" t="e">
        <f ca="1">(VLOOKUP($R$3,INDIRECT("Main_"&amp;$R$2), 3)+VLOOKUP($R$3-7,INDIRECT("Main_"&amp;$R$2), 3)+VLOOKUP($R$3-14,INDIRECT("Main_"&amp;$R$2), 3)+VLOOKUP($R$3-21,INDIRECT("Main_"&amp;$R$2), 3))/4</f>
        <v>#N/A</v>
      </c>
      <c r="Q10" s="36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237</v>
      </c>
      <c r="X10" s="34"/>
      <c r="Y10" s="34"/>
      <c r="Z10" t="e">
        <f ca="1">INDEX([1]!UIP_Main[#Data], MATCH(Input_Template[[#This Row],[Name 1]],[1]!UIP_Main[UID],0), MATCH(INDIRECT("Input_"&amp;$R$2&amp;"[[#Headers],[Description]]"), [1]!UIP_Main[#Headers], 0))</f>
        <v>#REF!</v>
      </c>
      <c r="AA10" s="34"/>
      <c r="AB10" s="27"/>
      <c r="AC10" s="27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0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1" spans="2:32" ht="15.5" x14ac:dyDescent="0.35">
      <c r="B11" s="29"/>
      <c r="C11" s="30"/>
      <c r="D11" s="30"/>
      <c r="E11" s="30"/>
      <c r="F11" s="30"/>
      <c r="G11" s="30"/>
      <c r="H11" s="30"/>
      <c r="I11" s="30"/>
      <c r="J11" s="18" t="str">
        <f>_xlfn.CONCAT("On Schedule Average (", IF(ISBLANK($R$6),"",$R$6), ")")</f>
        <v>On Schedule Average ()</v>
      </c>
      <c r="K11" s="18"/>
      <c r="L11" s="18"/>
      <c r="M11" s="18"/>
      <c r="N11" s="32">
        <f ca="1">AVERAGE(INDIRECT("Main_"&amp;$R$2&amp;"[Weekly Plan]"))</f>
        <v>100</v>
      </c>
      <c r="O11" s="33" t="str">
        <f ca="1">IF(($R$5-$R$3)&gt;0,($T$4-$T$5)/(CEILING(($R$5-$R$3),7)/7),"N/A")</f>
        <v>N/A</v>
      </c>
      <c r="Q11" s="36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238</v>
      </c>
      <c r="X11" s="34"/>
      <c r="Y11" s="34"/>
      <c r="Z11" t="e">
        <f ca="1">INDEX([1]!UIP_Main[#Data], MATCH(Input_Template[[#This Row],[Name 1]],[1]!UIP_Main[UID],0), MATCH(INDIRECT("Input_"&amp;$R$2&amp;"[[#Headers],[Description]]"), [1]!UIP_Main[#Headers], 0))</f>
        <v>#REF!</v>
      </c>
      <c r="AA11" s="34"/>
      <c r="AB11" s="27"/>
      <c r="AC11" s="27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1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2" spans="2:32" ht="15.5" x14ac:dyDescent="0.35">
      <c r="B12" s="29"/>
      <c r="C12" s="30"/>
      <c r="D12" s="30"/>
      <c r="E12" s="30"/>
      <c r="F12" s="30"/>
      <c r="G12" s="30"/>
      <c r="H12" s="30"/>
      <c r="I12" s="30"/>
      <c r="J12" s="37" t="s">
        <v>239</v>
      </c>
      <c r="K12" s="37"/>
      <c r="L12" s="37"/>
      <c r="M12" s="37"/>
      <c r="N12" s="38">
        <f ca="1">$R$5</f>
        <v>0</v>
      </c>
      <c r="O12" s="39"/>
      <c r="Q12" s="36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238</v>
      </c>
      <c r="X12" s="34"/>
      <c r="Y12" s="34"/>
      <c r="Z12" t="e">
        <f ca="1">INDEX([1]!UIP_Main[#Data], MATCH(Input_Template[[#This Row],[Name 1]],[1]!UIP_Main[UID],0), MATCH(INDIRECT("Input_"&amp;$R$2&amp;"[[#Headers],[Description]]"), [1]!UIP_Main[#Headers], 0))</f>
        <v>#REF!</v>
      </c>
      <c r="AA12" s="34"/>
      <c r="AB12" s="27"/>
      <c r="AC12" s="27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2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3" spans="2:32" ht="15.5" x14ac:dyDescent="0.35">
      <c r="B13" s="29"/>
      <c r="C13" s="30"/>
      <c r="D13" s="30"/>
      <c r="E13" s="30"/>
      <c r="F13" s="30"/>
      <c r="G13" s="30"/>
      <c r="H13" s="30"/>
      <c r="I13" s="30"/>
      <c r="J13" s="37" t="s">
        <v>240</v>
      </c>
      <c r="K13" s="37"/>
      <c r="L13" s="37"/>
      <c r="M13" s="37"/>
      <c r="N13" s="38" t="e">
        <f ca="1">$R$3+ROUNDUP(($T$4-$T$5)/($O$10/IF($R$7="NO", 5,6)),0)+(TRUNC(ROUNDUP(($T$4-$T$5)/($O$10/IF($R$7="NO", 5,6)),0)/7)*IF($R$7="NO",2,1))</f>
        <v>#N/A</v>
      </c>
      <c r="O13" s="40"/>
      <c r="Q13" s="36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238</v>
      </c>
      <c r="X13" s="34"/>
      <c r="Y13" s="34"/>
      <c r="Z13" t="e">
        <f ca="1">INDEX([1]!UIP_Main[#Data], MATCH(Input_Template[[#This Row],[Name 1]],[1]!UIP_Main[UID],0), MATCH(INDIRECT("Input_"&amp;$R$2&amp;"[[#Headers],[Description]]"), [1]!UIP_Main[#Headers], 0))</f>
        <v>#REF!</v>
      </c>
      <c r="AA13" s="34"/>
      <c r="AB13" s="27"/>
      <c r="AC13" s="27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3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4" spans="2:32" ht="15.75" customHeight="1" x14ac:dyDescent="0.35">
      <c r="B14" s="29"/>
      <c r="C14" s="30"/>
      <c r="D14" s="30"/>
      <c r="E14" s="30"/>
      <c r="F14" s="30"/>
      <c r="G14" s="30"/>
      <c r="H14" s="30"/>
      <c r="I14" s="30"/>
      <c r="J14" s="41"/>
      <c r="K14" s="41"/>
      <c r="L14" s="42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42"/>
      <c r="N14" s="42"/>
      <c r="O14" s="43"/>
      <c r="Q14" s="36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238</v>
      </c>
      <c r="X14" s="34"/>
      <c r="Y14" s="34"/>
      <c r="Z14" t="e">
        <f ca="1">INDEX([1]!UIP_Main[#Data], MATCH(Input_Template[[#This Row],[Name 1]],[1]!UIP_Main[UID],0), MATCH(INDIRECT("Input_"&amp;$R$2&amp;"[[#Headers],[Description]]"), [1]!UIP_Main[#Headers], 0))</f>
        <v>#REF!</v>
      </c>
      <c r="AA14" s="34"/>
      <c r="AB14" s="27"/>
      <c r="AC14" s="27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4" s="35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5" spans="2:32" ht="16.5" customHeight="1" thickBot="1" x14ac:dyDescent="0.4">
      <c r="B15" s="29"/>
      <c r="C15" s="30"/>
      <c r="D15" s="30"/>
      <c r="E15" s="30"/>
      <c r="F15" s="30"/>
      <c r="G15" s="30"/>
      <c r="H15" s="30"/>
      <c r="I15" s="30"/>
      <c r="J15" s="44"/>
      <c r="K15" s="44"/>
      <c r="L15" s="45"/>
      <c r="M15" s="45"/>
      <c r="N15" s="45"/>
      <c r="O15" s="46"/>
      <c r="Q15" s="36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238</v>
      </c>
    </row>
    <row r="16" spans="2:32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Q16" s="36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238</v>
      </c>
    </row>
    <row r="17" spans="2:22" ht="15.5" x14ac:dyDescent="0.35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50"/>
      <c r="Q17" s="36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238</v>
      </c>
    </row>
    <row r="18" spans="2:22" ht="15.5" x14ac:dyDescent="0.35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50"/>
      <c r="Q18" s="36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238</v>
      </c>
    </row>
    <row r="19" spans="2:22" ht="15.5" x14ac:dyDescent="0.35"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50"/>
      <c r="Q19" s="36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238</v>
      </c>
    </row>
    <row r="20" spans="2:22" ht="15.5" x14ac:dyDescent="0.35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50"/>
      <c r="Q20" s="36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238</v>
      </c>
    </row>
    <row r="21" spans="2:22" ht="15.5" x14ac:dyDescent="0.35">
      <c r="B21" s="29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50"/>
      <c r="Q21" s="36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238</v>
      </c>
    </row>
    <row r="22" spans="2:22" ht="15.5" x14ac:dyDescent="0.35">
      <c r="B22" s="29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50"/>
      <c r="Q22" s="36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238</v>
      </c>
    </row>
    <row r="23" spans="2:22" ht="15.5" x14ac:dyDescent="0.35">
      <c r="B23" s="2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50"/>
      <c r="Q23" s="51"/>
    </row>
    <row r="24" spans="2:22" ht="15.5" x14ac:dyDescent="0.35">
      <c r="B24" s="29"/>
      <c r="C24" s="30" t="s">
        <v>241</v>
      </c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50"/>
      <c r="Q24" s="51"/>
    </row>
    <row r="25" spans="2:22" ht="15.5" x14ac:dyDescent="0.35">
      <c r="B25" s="2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50"/>
      <c r="Q25" s="51"/>
    </row>
    <row r="26" spans="2:22" ht="15.5" x14ac:dyDescent="0.35">
      <c r="B26" s="29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50"/>
      <c r="Q26" s="51"/>
      <c r="U26" s="31"/>
    </row>
    <row r="27" spans="2:22" ht="15.5" x14ac:dyDescent="0.35">
      <c r="B27" s="2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50"/>
      <c r="Q27" s="51"/>
    </row>
    <row r="28" spans="2:22" ht="15.5" x14ac:dyDescent="0.35">
      <c r="B28" s="29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50"/>
      <c r="Q28" s="51"/>
    </row>
    <row r="29" spans="2:22" ht="15.5" x14ac:dyDescent="0.35">
      <c r="B29" s="29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50"/>
      <c r="Q29" s="51"/>
    </row>
    <row r="30" spans="2:22" ht="15.5" x14ac:dyDescent="0.35">
      <c r="B30" s="29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50"/>
      <c r="Q30" s="51"/>
    </row>
    <row r="31" spans="2:22" ht="15.5" x14ac:dyDescent="0.35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50"/>
      <c r="Q31" s="51"/>
    </row>
    <row r="32" spans="2:22" ht="15.5" x14ac:dyDescent="0.35">
      <c r="B32" s="29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50"/>
      <c r="Q32" s="51"/>
    </row>
    <row r="33" spans="2:17" ht="15.5" x14ac:dyDescent="0.35">
      <c r="B33" s="2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50"/>
      <c r="Q33" s="51"/>
    </row>
    <row r="34" spans="2:17" ht="15.5" x14ac:dyDescent="0.35">
      <c r="B34" s="29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50"/>
      <c r="Q34" s="51"/>
    </row>
    <row r="35" spans="2:17" ht="15.5" x14ac:dyDescent="0.35">
      <c r="B35" s="2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50"/>
      <c r="Q35" s="51"/>
    </row>
    <row r="36" spans="2:17" ht="15.5" x14ac:dyDescent="0.35">
      <c r="B36" s="29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50"/>
      <c r="Q36" s="51"/>
    </row>
    <row r="37" spans="2:17" ht="15.5" x14ac:dyDescent="0.35">
      <c r="B37" s="29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50"/>
      <c r="Q37" s="51"/>
    </row>
    <row r="38" spans="2:17" ht="15.5" x14ac:dyDescent="0.35">
      <c r="B38" s="29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50"/>
      <c r="Q38" s="51"/>
    </row>
    <row r="39" spans="2:17" ht="15.5" x14ac:dyDescent="0.35">
      <c r="B39" s="29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50"/>
    </row>
    <row r="40" spans="2:17" ht="16" thickBot="1" x14ac:dyDescent="0.4">
      <c r="B40" s="52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4"/>
    </row>
    <row r="41" spans="2:17" ht="15" customHeight="1" x14ac:dyDescent="0.35"/>
    <row r="80" ht="21" customHeight="1" x14ac:dyDescent="0.35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C6:I6"/>
    <mergeCell ref="J6:M6"/>
    <mergeCell ref="C7:I7"/>
    <mergeCell ref="J7:M7"/>
    <mergeCell ref="J8:M8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</mergeCells>
  <conditionalFormatting sqref="T4 V4">
    <cfRule type="expression" dxfId="15" priority="5">
      <formula>$V$4&lt;&gt;$T$4</formula>
    </cfRule>
  </conditionalFormatting>
  <conditionalFormatting sqref="V5 T5">
    <cfRule type="expression" dxfId="14" priority="4">
      <formula>$T$5&lt;&gt;$V$5</formula>
    </cfRule>
  </conditionalFormatting>
  <conditionalFormatting sqref="U10:U22">
    <cfRule type="containsErrors" dxfId="13" priority="3">
      <formula>ISERROR(U10)</formula>
    </cfRule>
  </conditionalFormatting>
  <conditionalFormatting sqref="X1:Y4">
    <cfRule type="expression" dxfId="12" priority="2">
      <formula>$T$4&lt;&gt;$V$4</formula>
    </cfRule>
  </conditionalFormatting>
  <conditionalFormatting sqref="Z1:Z7">
    <cfRule type="expression" dxfId="1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UpdateProductionPlan">
                <anchor moveWithCells="1" sizeWithCells="1">
                  <from>
                    <xdr:col>23</xdr:col>
                    <xdr:colOff>38100</xdr:colOff>
                    <xdr:row>1</xdr:row>
                    <xdr:rowOff>76200</xdr:rowOff>
                  </from>
                  <to>
                    <xdr:col>24</xdr:col>
                    <xdr:colOff>488950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UpdateDataLinks">
                <anchor moveWithCells="1" sizeWithCells="1">
                  <from>
                    <xdr:col>23</xdr:col>
                    <xdr:colOff>38100</xdr:colOff>
                    <xdr:row>4</xdr:row>
                    <xdr:rowOff>38100</xdr:rowOff>
                  </from>
                  <to>
                    <xdr:col>24</xdr:col>
                    <xdr:colOff>488950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UpdateProduction">
                <anchor moveWithCells="1" sizeWithCells="1">
                  <from>
                    <xdr:col>25</xdr:col>
                    <xdr:colOff>69850</xdr:colOff>
                    <xdr:row>1</xdr:row>
                    <xdr:rowOff>88900</xdr:rowOff>
                  </from>
                  <to>
                    <xdr:col>25</xdr:col>
                    <xdr:colOff>1803400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ExportActiveTrade">
                <anchor moveWithCells="1" sizeWithCells="1">
                  <from>
                    <xdr:col>26</xdr:col>
                    <xdr:colOff>0</xdr:colOff>
                    <xdr:row>1</xdr:row>
                    <xdr:rowOff>76200</xdr:rowOff>
                  </from>
                  <to>
                    <xdr:col>27</xdr:col>
                    <xdr:colOff>952500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ImportQL</vt:lpstr>
      <vt:lpstr>Template</vt:lpstr>
      <vt:lpstr>Settings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2020-01-21T21:09:01Z</dcterms:modified>
</cp:coreProperties>
</file>