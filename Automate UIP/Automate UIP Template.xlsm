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8D26E323-D28A-4FDB-8804-1A16A6022388}" xr6:coauthVersionLast="44" xr6:coauthVersionMax="44" xr10:uidLastSave="{00000000-0000-0000-0000-000000000000}"/>
  <bookViews>
    <workbookView xWindow="-110" yWindow="-110" windowWidth="38620" windowHeight="21220" activeTab="1" xr2:uid="{791B15CC-68B2-4D54-B53E-4FED7E26F6F4}"/>
  </bookViews>
  <sheets>
    <sheet name="ImportQL" sheetId="2" r:id="rId1"/>
    <sheet name="Template" sheetId="3" r:id="rId2"/>
    <sheet name="Settings" sheetId="4" r:id="rId3"/>
  </sheets>
  <functionGroups builtInGroupCount="19"/>
  <externalReferences>
    <externalReference r:id="rId4"/>
  </externalReferences>
  <definedNames>
    <definedName name="CountSaturdays">[1]Settings!$E$5</definedName>
    <definedName name="Default_Run_Date">[1]Settings!$E$7</definedName>
    <definedName name="ExternalData_1" localSheetId="0" hidden="1">ImportQL!$A$1:$R$99</definedName>
    <definedName name="_xlnm.Print_Area" localSheetId="1">Template!$B$2:$O$40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C7" i="3"/>
  <c r="J6" i="3"/>
  <c r="C6" i="3"/>
  <c r="C5" i="3"/>
  <c r="C4" i="3"/>
  <c r="R3" i="3"/>
  <c r="B2" i="3" s="1"/>
  <c r="R2" i="3"/>
  <c r="AE14" i="3"/>
  <c r="T5" i="3"/>
  <c r="R4" i="3"/>
  <c r="AD14" i="3"/>
  <c r="Z14" i="3"/>
  <c r="N9" i="3"/>
  <c r="T4" i="3"/>
  <c r="Z12" i="3"/>
  <c r="AD10" i="3"/>
  <c r="AD13" i="3"/>
  <c r="Z9" i="3"/>
  <c r="AD11" i="3"/>
  <c r="AE11" i="3"/>
  <c r="AD9" i="3"/>
  <c r="AE13" i="3"/>
  <c r="Z13" i="3"/>
  <c r="AE12" i="3"/>
  <c r="V4" i="3"/>
  <c r="Z10" i="3"/>
  <c r="N11" i="3"/>
  <c r="Z11" i="3"/>
  <c r="AE10" i="3"/>
  <c r="AD12" i="3"/>
  <c r="AE9" i="3"/>
  <c r="O9" i="3"/>
  <c r="R5" i="3"/>
  <c r="V5" i="3"/>
  <c r="N12" i="3" l="1"/>
  <c r="O11" i="3"/>
  <c r="AF9" i="3"/>
  <c r="AF10" i="3"/>
  <c r="O6" i="3"/>
  <c r="O5" i="3" s="1"/>
  <c r="V6" i="3" s="1"/>
  <c r="AF12" i="3"/>
  <c r="AF13" i="3"/>
  <c r="AF11" i="3"/>
  <c r="N6" i="3"/>
  <c r="N5" i="3" s="1"/>
  <c r="T6" i="3" s="1"/>
  <c r="AF14" i="3"/>
  <c r="Q10" i="3"/>
  <c r="Q11" i="3" s="1"/>
  <c r="Q12" i="3" s="1"/>
  <c r="Q13" i="3" s="1"/>
  <c r="Q14" i="3" s="1"/>
  <c r="Q15" i="3" s="1"/>
  <c r="Q16" i="3" s="1"/>
  <c r="Q17" i="3" l="1"/>
  <c r="Q18" i="3" l="1"/>
  <c r="Q19" i="3" l="1"/>
  <c r="Q20" i="3" l="1"/>
  <c r="Q21" i="3" l="1"/>
  <c r="Q22" i="3" l="1"/>
  <c r="O10" i="3"/>
  <c r="N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<sst xmlns="http://schemas.openxmlformats.org/spreadsheetml/2006/main" count="270" uniqueCount="241">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</sst>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55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 applyAlignment="1">
      <alignment horizontal="right" vertical="center" indent="1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0A15A9C-372C-4719-9321-08F5391F3A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A95690-11E0-4BCF-888A-62BC260C3E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E614A6-CA6D-4E1A-9ACA-602554A24B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5DD01F-25D6-4A10-8E88-10EEABFB9A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75E4CC-8255-4B84-AA1B-5F142412B9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8BD9CF-6C88-49E8-9B3B-B905D7915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65E8CE-848D-49FF-93A8-FB1BD705F1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EF1422-221D-428C-9068-46093EEB19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51DCFF-3178-4C38-9627-DA36317EE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0B1680-324F-481F-8CB6-4ADB570E63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99EBD0-5CF1-4081-B6FC-BA7EAFE594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17F6F8D-BA8D-40D9-9C6C-572D83AE22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C39DEB-59B2-4559-8F13-280B946450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  <sheetName val="UIP Main Excel Template"/>
    </sheetNames>
    <sheetDataSet>
      <sheetData sheetId="0"/>
      <sheetData sheetId="1"/>
      <sheetData sheetId="2"/>
      <sheetData sheetId="3">
        <row r="5">
          <cell r="E5" t="str">
            <v>NO</v>
          </cell>
        </row>
        <row r="7">
          <cell r="E7">
            <v>43066</v>
          </cell>
        </row>
      </sheetData>
      <sheetData sheetId="4">
        <row r="6">
          <cell r="D6" t="str">
            <v>Herriman High 2</v>
          </cell>
        </row>
        <row r="7">
          <cell r="D7" t="str">
            <v>W1027</v>
          </cell>
        </row>
        <row r="8">
          <cell r="D8">
            <v>43521</v>
          </cell>
        </row>
        <row r="78">
          <cell r="F78" t="str">
            <v>Sample Trade</v>
          </cell>
          <cell r="G78" t="str">
            <v>XYZ Corp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17"/>
    <tableColumn id="2" xr3:uid="{BA47FC0A-4539-4347-8F64-2016E045C96A}" uniqueName="2" name="Description" queryTableFieldId="2" dataDxfId="16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10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9" dataCellStyle="Input"/>
    <tableColumn id="2" xr3:uid="{498B4F4D-675D-4DD7-9D82-9EB31250D6D5}" name="Name 2" dataCellStyle="Input"/>
    <tableColumn id="3" xr3:uid="{0288AD8A-4CF7-4A2B-99B3-AE7EF70354EC}" name="Description" dataDxfId="8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7" dataCellStyle="Input"/>
    <tableColumn id="5" xr3:uid="{7118FEE9-F494-487A-801B-2AA726B6FFC1}" name="Finish Date" dataDxfId="6" dataCellStyle="Input"/>
    <tableColumn id="6" xr3:uid="{B6959521-DB5F-43A3-87AC-531264378323}" name="Total" dataDxfId="5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4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3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1">
      <calculatedColumnFormula>SUM($R$10:R10)</calculatedColumnFormula>
    </tableColumn>
    <tableColumn id="5" xr3:uid="{5C79CEA8-DC0A-4C98-84FE-BA46E2D9A7B1}" name="Accumulated Actual" dataDxfId="0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5" x14ac:dyDescent="0.35"/>
  <cols>
    <col min="1" max="1" width="6.1796875" bestFit="1" customWidth="1"/>
    <col min="2" max="2" width="24.90625" bestFit="1" customWidth="1"/>
    <col min="3" max="3" width="9.6328125" bestFit="1" customWidth="1"/>
    <col min="4" max="4" width="12" bestFit="1" customWidth="1"/>
    <col min="5" max="5" width="7.36328125" bestFit="1" customWidth="1"/>
    <col min="6" max="7" width="4.08984375" bestFit="1" customWidth="1"/>
    <col min="8" max="12" width="5.08984375" bestFit="1" customWidth="1"/>
    <col min="13" max="13" width="13.08984375" bestFit="1" customWidth="1"/>
    <col min="14" max="14" width="17.08984375" bestFit="1" customWidth="1"/>
    <col min="15" max="15" width="13.81640625" bestFit="1" customWidth="1"/>
    <col min="16" max="18" width="14.63281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 t="s">
        <v>19</v>
      </c>
    </row>
    <row r="3" spans="1:18" x14ac:dyDescent="0.35">
      <c r="A3" t="s">
        <v>20</v>
      </c>
      <c r="B3" t="s">
        <v>19</v>
      </c>
    </row>
    <row r="4" spans="1:18" x14ac:dyDescent="0.35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35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35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35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35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35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35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35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35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35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35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35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35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35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35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35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35">
      <c r="A20" t="s">
        <v>53</v>
      </c>
      <c r="B20" t="s">
        <v>54</v>
      </c>
      <c r="N20">
        <v>0</v>
      </c>
    </row>
    <row r="21" spans="1:17" x14ac:dyDescent="0.35">
      <c r="A21" t="s">
        <v>55</v>
      </c>
      <c r="B21" t="s">
        <v>56</v>
      </c>
      <c r="N21">
        <v>0</v>
      </c>
    </row>
    <row r="22" spans="1:17" x14ac:dyDescent="0.35">
      <c r="A22" t="s">
        <v>57</v>
      </c>
      <c r="B22" t="s">
        <v>58</v>
      </c>
      <c r="N22">
        <v>0</v>
      </c>
    </row>
    <row r="23" spans="1:17" x14ac:dyDescent="0.35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35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35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35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35">
      <c r="A27" t="s">
        <v>67</v>
      </c>
      <c r="B27" t="s">
        <v>68</v>
      </c>
      <c r="N27">
        <v>0</v>
      </c>
    </row>
    <row r="28" spans="1:17" x14ac:dyDescent="0.35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35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35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35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35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35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35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35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35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35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35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35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35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35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35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35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35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35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35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35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35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35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35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35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35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35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35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35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35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35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35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35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35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35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35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35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35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35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35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35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35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35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35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35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35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35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35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35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35">
      <c r="A76" t="s">
        <v>165</v>
      </c>
      <c r="B76" t="s">
        <v>70</v>
      </c>
      <c r="N76">
        <v>0</v>
      </c>
    </row>
    <row r="77" spans="1:15" x14ac:dyDescent="0.35">
      <c r="A77" t="s">
        <v>166</v>
      </c>
      <c r="B77" t="s">
        <v>72</v>
      </c>
      <c r="N77">
        <v>0</v>
      </c>
    </row>
    <row r="78" spans="1:15" x14ac:dyDescent="0.35">
      <c r="A78" t="s">
        <v>167</v>
      </c>
      <c r="B78" t="s">
        <v>74</v>
      </c>
      <c r="N78">
        <v>0</v>
      </c>
    </row>
    <row r="79" spans="1:15" x14ac:dyDescent="0.35">
      <c r="A79" t="s">
        <v>168</v>
      </c>
      <c r="B79" t="s">
        <v>76</v>
      </c>
      <c r="N79">
        <v>0</v>
      </c>
    </row>
    <row r="80" spans="1:15" x14ac:dyDescent="0.35">
      <c r="A80" t="s">
        <v>169</v>
      </c>
      <c r="B80" t="s">
        <v>78</v>
      </c>
      <c r="N80">
        <v>0</v>
      </c>
    </row>
    <row r="81" spans="1:18" x14ac:dyDescent="0.35">
      <c r="A81" t="s">
        <v>170</v>
      </c>
      <c r="B81" t="s">
        <v>80</v>
      </c>
      <c r="N81">
        <v>0</v>
      </c>
    </row>
    <row r="82" spans="1:18" x14ac:dyDescent="0.35">
      <c r="A82" t="s">
        <v>171</v>
      </c>
      <c r="B82" t="s">
        <v>82</v>
      </c>
      <c r="N82">
        <v>0</v>
      </c>
    </row>
    <row r="83" spans="1:18" x14ac:dyDescent="0.35">
      <c r="A83" t="s">
        <v>172</v>
      </c>
      <c r="B83" t="s">
        <v>84</v>
      </c>
      <c r="N83">
        <v>0</v>
      </c>
    </row>
    <row r="84" spans="1:18" x14ac:dyDescent="0.35">
      <c r="A84" t="s">
        <v>173</v>
      </c>
      <c r="B84" t="s">
        <v>86</v>
      </c>
      <c r="N84">
        <v>0</v>
      </c>
    </row>
    <row r="85" spans="1:18" x14ac:dyDescent="0.35">
      <c r="A85" t="s">
        <v>174</v>
      </c>
      <c r="B85" t="s">
        <v>88</v>
      </c>
      <c r="N85">
        <v>0</v>
      </c>
    </row>
    <row r="86" spans="1:18" x14ac:dyDescent="0.35">
      <c r="A86" t="s">
        <v>175</v>
      </c>
      <c r="B86" t="s">
        <v>90</v>
      </c>
      <c r="N86">
        <v>0</v>
      </c>
    </row>
    <row r="87" spans="1:18" x14ac:dyDescent="0.35">
      <c r="A87" t="s">
        <v>176</v>
      </c>
      <c r="B87" t="s">
        <v>92</v>
      </c>
      <c r="N87">
        <v>0</v>
      </c>
    </row>
    <row r="88" spans="1:18" x14ac:dyDescent="0.35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35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35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35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35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35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35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35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35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35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35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35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tabSelected="1" zoomScale="85" zoomScaleNormal="85" workbookViewId="0">
      <selection activeCell="S34" sqref="S34"/>
    </sheetView>
  </sheetViews>
  <sheetFormatPr defaultColWidth="9.1796875" defaultRowHeight="14.5" x14ac:dyDescent="0.35"/>
  <cols>
    <col min="1" max="1" width="2.81640625" customWidth="1"/>
    <col min="2" max="2" width="18.26953125" customWidth="1"/>
    <col min="3" max="3" width="9.1796875" customWidth="1"/>
    <col min="9" max="9" width="6.26953125" customWidth="1"/>
    <col min="12" max="13" width="9.453125" customWidth="1"/>
    <col min="14" max="15" width="10.7265625" customWidth="1"/>
    <col min="16" max="16" width="2.81640625" customWidth="1"/>
    <col min="17" max="17" width="14.81640625" customWidth="1"/>
    <col min="18" max="18" width="16" customWidth="1"/>
    <col min="19" max="19" width="19.26953125" customWidth="1"/>
    <col min="20" max="20" width="20.26953125" customWidth="1"/>
    <col min="21" max="21" width="22.1796875" customWidth="1"/>
    <col min="22" max="22" width="16.7265625" customWidth="1"/>
    <col min="23" max="23" width="2.81640625" customWidth="1"/>
    <col min="24" max="25" width="7.7265625" bestFit="1" customWidth="1"/>
    <col min="26" max="26" width="28.1796875" bestFit="1" customWidth="1"/>
    <col min="27" max="27" width="5.1796875" customWidth="1"/>
    <col min="28" max="28" width="14.453125" bestFit="1" customWidth="1"/>
    <col min="29" max="29" width="15.1796875" customWidth="1"/>
    <col min="30" max="31" width="10.54296875" customWidth="1"/>
    <col min="32" max="32" width="8.26953125" customWidth="1"/>
  </cols>
  <sheetData>
    <row r="1" spans="2:32" ht="15" customHeight="1" thickBot="1" x14ac:dyDescent="0.4">
      <c r="X1" s="35" t="s">
        <v>201</v>
      </c>
      <c r="Y1" s="35"/>
      <c r="Z1" s="36" t="s">
        <v>201</v>
      </c>
    </row>
    <row r="2" spans="2:32" ht="15" customHeight="1" x14ac:dyDescent="0.35">
      <c r="B2" s="37" t="str">
        <f>_xlfn.CONCAT("PROGRESS REPORT WEEK OF ", TEXT(R3,"mm/dd/yyyy"))</f>
        <v>PROGRESS REPORT WEEK OF 02/25/2019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43"/>
      <c r="U2" s="43"/>
      <c r="V2" s="43"/>
      <c r="X2" s="35"/>
      <c r="Y2" s="35"/>
      <c r="Z2" s="36"/>
    </row>
    <row r="3" spans="2:32" ht="15" customHeight="1" x14ac:dyDescent="0.35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  <c r="Q3" s="1" t="s">
        <v>204</v>
      </c>
      <c r="R3" s="3">
        <f>[1]Index!$D$8</f>
        <v>43521</v>
      </c>
      <c r="S3" s="1" t="s">
        <v>205</v>
      </c>
      <c r="T3" s="43"/>
      <c r="U3" s="43"/>
      <c r="V3" s="43"/>
      <c r="X3" s="35"/>
      <c r="Y3" s="35"/>
      <c r="Z3" s="36"/>
    </row>
    <row r="4" spans="2:32" ht="15.5" x14ac:dyDescent="0.35">
      <c r="B4" s="4" t="s">
        <v>206</v>
      </c>
      <c r="C4" s="44" t="str">
        <f>[1]Index!$D$6</f>
        <v>Herriman High 2</v>
      </c>
      <c r="D4" s="44"/>
      <c r="E4" s="44"/>
      <c r="F4" s="44"/>
      <c r="G4" s="44"/>
      <c r="H4" s="44"/>
      <c r="I4" s="44"/>
      <c r="J4" s="45" t="s">
        <v>1</v>
      </c>
      <c r="K4" s="45"/>
      <c r="L4" s="45"/>
      <c r="M4" s="45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#REF!</v>
      </c>
      <c r="X4" s="35"/>
      <c r="Y4" s="35"/>
      <c r="Z4" s="36"/>
    </row>
    <row r="5" spans="2:32" ht="15.5" x14ac:dyDescent="0.35">
      <c r="B5" s="4" t="s">
        <v>212</v>
      </c>
      <c r="C5" s="44" t="str">
        <f>[1]Index!$D$7</f>
        <v>W1027</v>
      </c>
      <c r="D5" s="44"/>
      <c r="E5" s="44"/>
      <c r="F5" s="44"/>
      <c r="G5" s="44"/>
      <c r="H5" s="44"/>
      <c r="I5" s="44"/>
      <c r="J5" s="34" t="s">
        <v>213</v>
      </c>
      <c r="K5" s="34"/>
      <c r="L5" s="34"/>
      <c r="M5" s="34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#REF!</v>
      </c>
      <c r="X5" s="46"/>
      <c r="Y5" s="46"/>
      <c r="Z5" s="36"/>
    </row>
    <row r="6" spans="2:32" ht="15.5" x14ac:dyDescent="0.35">
      <c r="B6" s="4" t="s">
        <v>217</v>
      </c>
      <c r="C6" s="44" t="str">
        <f>[1]Index!G78</f>
        <v>XYZ Corp</v>
      </c>
      <c r="D6" s="44"/>
      <c r="E6" s="44"/>
      <c r="F6" s="44"/>
      <c r="G6" s="44"/>
      <c r="H6" s="44"/>
      <c r="I6" s="44"/>
      <c r="J6" s="34" t="str">
        <f>_xlfn.CONCAT("Overall Totals (", IF(ISBLANK($R$6),"",$R$6), ")")</f>
        <v>Overall Totals ()</v>
      </c>
      <c r="K6" s="34"/>
      <c r="L6" s="34"/>
      <c r="M6" s="34"/>
      <c r="N6" s="9">
        <f ca="1">$T$4</f>
        <v>1300</v>
      </c>
      <c r="O6" s="10" t="e">
        <f ca="1">$V$4</f>
        <v>#REF!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46"/>
      <c r="Y6" s="46"/>
      <c r="Z6" s="36"/>
    </row>
    <row r="7" spans="2:32" ht="15.5" x14ac:dyDescent="0.35">
      <c r="B7" s="4" t="s">
        <v>221</v>
      </c>
      <c r="C7" s="44" t="str">
        <f>[1]Index!F78</f>
        <v>Sample Trade</v>
      </c>
      <c r="D7" s="44"/>
      <c r="E7" s="44"/>
      <c r="F7" s="44"/>
      <c r="G7" s="44"/>
      <c r="H7" s="44"/>
      <c r="I7" s="44"/>
      <c r="J7" s="34" t="str">
        <f>_xlfn.CONCAT("Overall Completed Totals (", IF(ISBLANK($R$6),"",$R$6), ")")</f>
        <v>Overall Completed Totals ()</v>
      </c>
      <c r="K7" s="34"/>
      <c r="L7" s="34"/>
      <c r="M7" s="34"/>
      <c r="N7" s="9">
        <f>$T$16</f>
        <v>700</v>
      </c>
      <c r="O7" s="10" t="e">
        <f>$U$16</f>
        <v>#N/A</v>
      </c>
      <c r="Q7" s="1" t="s">
        <v>222</v>
      </c>
      <c r="R7" s="11" t="str">
        <f>CountSaturdays</f>
        <v>NO</v>
      </c>
      <c r="S7" s="13" t="s">
        <v>223</v>
      </c>
      <c r="T7" s="14">
        <f>Default_Run_Date</f>
        <v>43066</v>
      </c>
      <c r="V7" s="15"/>
      <c r="X7" s="46"/>
      <c r="Y7" s="46"/>
      <c r="Z7" s="36"/>
    </row>
    <row r="8" spans="2:32" ht="15.5" x14ac:dyDescent="0.35">
      <c r="B8" s="16"/>
      <c r="C8" s="17"/>
      <c r="D8" s="17"/>
      <c r="E8" s="17"/>
      <c r="F8" s="17"/>
      <c r="G8" s="17"/>
      <c r="H8" s="17"/>
      <c r="I8" s="17"/>
      <c r="J8" s="34" t="str">
        <f>_xlfn.CONCAT("This Week's Production (", IF(ISBLANK($R$6),"",$R$6), ")")</f>
        <v>This Week's Production ()</v>
      </c>
      <c r="K8" s="34"/>
      <c r="L8" s="34"/>
      <c r="M8" s="34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5" x14ac:dyDescent="0.35">
      <c r="B9" s="16"/>
      <c r="C9" s="17"/>
      <c r="D9" s="17"/>
      <c r="E9" s="17"/>
      <c r="F9" s="17"/>
      <c r="G9" s="17"/>
      <c r="H9" s="17"/>
      <c r="I9" s="17"/>
      <c r="J9" s="34" t="str">
        <f>_xlfn.CONCAT("Weekly Average (", IF(ISBLANK($R$6),"",$R$6), ")")</f>
        <v>Weekly Average ()</v>
      </c>
      <c r="K9" s="34"/>
      <c r="L9" s="34"/>
      <c r="M9" s="34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#REF!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9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0" spans="2:32" ht="15.5" x14ac:dyDescent="0.35">
      <c r="B10" s="16"/>
      <c r="C10" s="17"/>
      <c r="D10" s="17"/>
      <c r="E10" s="17"/>
      <c r="F10" s="17"/>
      <c r="G10" s="17"/>
      <c r="H10" s="17"/>
      <c r="I10" s="17"/>
      <c r="J10" s="34" t="str">
        <f>_xlfn.CONCAT("Average Past 4 Weeks (", IF(ISBLANK($R$6),"",$R$6), ")")</f>
        <v>Average Past 4 Weeks ()</v>
      </c>
      <c r="K10" s="34"/>
      <c r="L10" s="34"/>
      <c r="M10" s="34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#REF!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0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1" spans="2:32" ht="15.5" x14ac:dyDescent="0.35">
      <c r="B11" s="16"/>
      <c r="C11" s="17"/>
      <c r="D11" s="17"/>
      <c r="E11" s="17"/>
      <c r="F11" s="17"/>
      <c r="G11" s="17"/>
      <c r="H11" s="17"/>
      <c r="I11" s="17"/>
      <c r="J11" s="34" t="str">
        <f>_xlfn.CONCAT("On Schedule Average (", IF(ISBLANK($R$6),"",$R$6), ")")</f>
        <v>On Schedule Average ()</v>
      </c>
      <c r="K11" s="34"/>
      <c r="L11" s="34"/>
      <c r="M11" s="34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#REF!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1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2" spans="2:32" ht="15.5" x14ac:dyDescent="0.35">
      <c r="B12" s="16"/>
      <c r="C12" s="17"/>
      <c r="D12" s="17"/>
      <c r="E12" s="17"/>
      <c r="F12" s="17"/>
      <c r="G12" s="17"/>
      <c r="H12" s="17"/>
      <c r="I12" s="17"/>
      <c r="J12" s="51" t="s">
        <v>238</v>
      </c>
      <c r="K12" s="51"/>
      <c r="L12" s="51"/>
      <c r="M12" s="51"/>
      <c r="N12" s="52">
        <f ca="1">$R$5</f>
        <v>0</v>
      </c>
      <c r="O12" s="53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#REF!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2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3" spans="2:32" ht="15.5" x14ac:dyDescent="0.35">
      <c r="B13" s="16"/>
      <c r="C13" s="17"/>
      <c r="D13" s="17"/>
      <c r="E13" s="17"/>
      <c r="F13" s="17"/>
      <c r="G13" s="17"/>
      <c r="H13" s="17"/>
      <c r="I13" s="17"/>
      <c r="J13" s="51" t="s">
        <v>239</v>
      </c>
      <c r="K13" s="51"/>
      <c r="L13" s="51"/>
      <c r="M13" s="51"/>
      <c r="N13" s="52" t="e">
        <f ca="1">$R$3+ROUNDUP(($T$4-$T$5)/($O$10/IF($R$7="NO", 5,6)),0)+(TRUNC(ROUNDUP(($T$4-$T$5)/($O$10/IF($R$7="NO", 5,6)),0)/7)*IF($R$7="NO",2,1))</f>
        <v>#N/A</v>
      </c>
      <c r="O13" s="54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#REF!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3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4" spans="2:32" ht="15.75" customHeight="1" x14ac:dyDescent="0.35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47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11/27/2017.</v>
      </c>
      <c r="M14" s="47"/>
      <c r="N14" s="47"/>
      <c r="O14" s="48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#REF!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4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5" spans="2:32" ht="16.5" customHeight="1" thickBot="1" x14ac:dyDescent="0.4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49"/>
      <c r="M15" s="49"/>
      <c r="N15" s="49"/>
      <c r="O15" s="50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5" x14ac:dyDescent="0.35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5" x14ac:dyDescent="0.3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5" x14ac:dyDescent="0.3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5" x14ac:dyDescent="0.3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5" x14ac:dyDescent="0.3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5" x14ac:dyDescent="0.3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5" x14ac:dyDescent="0.3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5" x14ac:dyDescent="0.3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5" x14ac:dyDescent="0.35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5" x14ac:dyDescent="0.3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5" x14ac:dyDescent="0.3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5" x14ac:dyDescent="0.3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5" x14ac:dyDescent="0.3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5" x14ac:dyDescent="0.3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5" x14ac:dyDescent="0.3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5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5" x14ac:dyDescent="0.3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5" x14ac:dyDescent="0.3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5" x14ac:dyDescent="0.3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5" x14ac:dyDescent="0.3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5" x14ac:dyDescent="0.3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5" x14ac:dyDescent="0.3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5" x14ac:dyDescent="0.3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5" x14ac:dyDescent="0.3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6" thickBot="1" x14ac:dyDescent="0.4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35"/>
    <row r="80" ht="21" customHeight="1" x14ac:dyDescent="0.35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</mergeCells>
  <conditionalFormatting sqref="T4 V4">
    <cfRule type="expression" dxfId="15" priority="5">
      <formula>$V$4&lt;&gt;$T$4</formula>
    </cfRule>
  </conditionalFormatting>
  <conditionalFormatting sqref="V5 T5">
    <cfRule type="expression" dxfId="14" priority="4">
      <formula>$T$5&lt;&gt;$V$5</formula>
    </cfRule>
  </conditionalFormatting>
  <conditionalFormatting sqref="U10:U22">
    <cfRule type="containsErrors" dxfId="13" priority="3">
      <formula>ISERROR(U10)</formula>
    </cfRule>
  </conditionalFormatting>
  <conditionalFormatting sqref="X1:Y4">
    <cfRule type="expression" dxfId="12" priority="2">
      <formula>$T$4&lt;&gt;$V$4</formula>
    </cfRule>
  </conditionalFormatting>
  <conditionalFormatting sqref="Z1:Z7">
    <cfRule type="expression" dxfId="1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ImportQL</vt:lpstr>
      <vt:lpstr>Template</vt:lpstr>
      <vt:lpstr>Settings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2020-01-21T23:30:46Z</dcterms:modified>
</cp:coreProperties>
</file>