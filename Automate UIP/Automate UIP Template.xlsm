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Automate UIP\Automate UIP\"/>
    </mc:Choice>
  </mc:AlternateContent>
  <xr:revisionPtr revIDLastSave="0" documentId="13_ncr:1_{B07EA838-0E1C-483D-B1C5-716CEE328FDD}" xr6:coauthVersionLast="44" xr6:coauthVersionMax="44" xr10:uidLastSave="{00000000-0000-0000-0000-000000000000}"/>
  <bookViews>
    <workbookView xWindow="-96" yWindow="-96" windowWidth="23232" windowHeight="12552" activeTab="3" xr2:uid="{791B15CC-68B2-4D54-B53E-4FED7E26F6F4}"/>
  </bookViews>
  <sheets>
    <sheet name="ImportQL" sheetId="2" r:id="rId1"/>
    <sheet name="Template" sheetId="3" r:id="rId2"/>
    <sheet name="Settings" sheetId="4" r:id="rId3"/>
    <sheet name="Index" sheetId="5" r:id="rId4"/>
  </sheets>
  <functionGroups builtInGroupCount="19"/>
  <externalReferences>
    <externalReference r:id="rId5"/>
  </externalReferences>
  <definedNames>
    <definedName name="ExternalData_1" localSheetId="0" hidden="1">ImportQL!$A$1:$R$99</definedName>
    <definedName name="_xlnm.Print_Area" localSheetId="3">Index!$B$2:$J$78</definedName>
    <definedName name="_xlnm.Print_Area" localSheetId="1">Template!$B$2:$O$40</definedName>
    <definedName name="Quantity_Link_File_Path">Settings!$B$2</definedName>
    <definedName name="Report_Week">Index!$D$8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3" l="1"/>
  <c r="C5" i="3"/>
  <c r="C6" i="3"/>
  <c r="C7" i="3"/>
  <c r="E78" i="5"/>
  <c r="I77" i="5"/>
  <c r="H77" i="5"/>
  <c r="I76" i="5"/>
  <c r="H76" i="5"/>
  <c r="I75" i="5"/>
  <c r="H75" i="5"/>
  <c r="I74" i="5"/>
  <c r="H74" i="5"/>
  <c r="I73" i="5"/>
  <c r="H73" i="5"/>
  <c r="I72" i="5"/>
  <c r="H72" i="5"/>
  <c r="I71" i="5"/>
  <c r="H71" i="5"/>
  <c r="I70" i="5"/>
  <c r="H70" i="5"/>
  <c r="I69" i="5"/>
  <c r="H69" i="5"/>
  <c r="I68" i="5"/>
  <c r="H68" i="5"/>
  <c r="I67" i="5"/>
  <c r="H67" i="5"/>
  <c r="I66" i="5"/>
  <c r="H66" i="5"/>
  <c r="I65" i="5"/>
  <c r="H65" i="5"/>
  <c r="I64" i="5"/>
  <c r="H64" i="5"/>
  <c r="I63" i="5"/>
  <c r="H63" i="5"/>
  <c r="I62" i="5"/>
  <c r="H62" i="5"/>
  <c r="I61" i="5"/>
  <c r="H61" i="5"/>
  <c r="I60" i="5"/>
  <c r="H60" i="5"/>
  <c r="I59" i="5"/>
  <c r="H59" i="5"/>
  <c r="I58" i="5"/>
  <c r="H58" i="5"/>
  <c r="I57" i="5"/>
  <c r="H57" i="5"/>
  <c r="I56" i="5"/>
  <c r="H56" i="5"/>
  <c r="I55" i="5"/>
  <c r="H55" i="5"/>
  <c r="I54" i="5"/>
  <c r="H54" i="5"/>
  <c r="I53" i="5"/>
  <c r="H53" i="5"/>
  <c r="I52" i="5"/>
  <c r="H52" i="5"/>
  <c r="I51" i="5"/>
  <c r="H51" i="5"/>
  <c r="I50" i="5"/>
  <c r="H50" i="5"/>
  <c r="I49" i="5"/>
  <c r="H49" i="5"/>
  <c r="I48" i="5"/>
  <c r="H48" i="5"/>
  <c r="I29" i="5"/>
  <c r="H29" i="5"/>
  <c r="I28" i="5"/>
  <c r="H28" i="5"/>
  <c r="I27" i="5"/>
  <c r="H27" i="5"/>
  <c r="I26" i="5"/>
  <c r="H26" i="5"/>
  <c r="I25" i="5"/>
  <c r="H25" i="5"/>
  <c r="I24" i="5"/>
  <c r="H24" i="5"/>
  <c r="I23" i="5"/>
  <c r="H23" i="5"/>
  <c r="I22" i="5"/>
  <c r="H22" i="5"/>
  <c r="I21" i="5"/>
  <c r="H21" i="5"/>
  <c r="I20" i="5"/>
  <c r="H20" i="5"/>
  <c r="I19" i="5"/>
  <c r="H19" i="5"/>
  <c r="I18" i="5"/>
  <c r="H18" i="5"/>
  <c r="I17" i="5"/>
  <c r="H17" i="5"/>
  <c r="I16" i="5"/>
  <c r="H16" i="5"/>
  <c r="I15" i="5"/>
  <c r="H15" i="5"/>
  <c r="I14" i="5"/>
  <c r="H14" i="5"/>
  <c r="I13" i="5"/>
  <c r="H13" i="5"/>
  <c r="I12" i="5"/>
  <c r="H12" i="5"/>
  <c r="B2" i="5"/>
  <c r="I78" i="5"/>
  <c r="H78" i="5" l="1"/>
  <c r="U22" i="3" l="1"/>
  <c r="T22" i="3"/>
  <c r="U21" i="3"/>
  <c r="T21" i="3"/>
  <c r="U20" i="3"/>
  <c r="T20" i="3"/>
  <c r="U19" i="3"/>
  <c r="T19" i="3"/>
  <c r="U18" i="3"/>
  <c r="T18" i="3"/>
  <c r="U17" i="3"/>
  <c r="T17" i="3"/>
  <c r="U16" i="3"/>
  <c r="T16" i="3"/>
  <c r="U15" i="3"/>
  <c r="T15" i="3"/>
  <c r="U14" i="3"/>
  <c r="T14" i="3"/>
  <c r="U13" i="3"/>
  <c r="T13" i="3"/>
  <c r="U12" i="3"/>
  <c r="T12" i="3"/>
  <c r="U11" i="3"/>
  <c r="T11" i="3"/>
  <c r="J11" i="3"/>
  <c r="U10" i="3"/>
  <c r="T10" i="3"/>
  <c r="J10" i="3"/>
  <c r="J9" i="3"/>
  <c r="O8" i="3"/>
  <c r="N8" i="3"/>
  <c r="J8" i="3"/>
  <c r="T7" i="3"/>
  <c r="L14" i="3" s="1"/>
  <c r="R7" i="3"/>
  <c r="O7" i="3"/>
  <c r="N7" i="3"/>
  <c r="J7" i="3"/>
  <c r="J6" i="3"/>
  <c r="R3" i="3"/>
  <c r="B2" i="3" s="1"/>
  <c r="R2" i="3"/>
  <c r="AE12" i="3"/>
  <c r="Z11" i="3"/>
  <c r="AE13" i="3"/>
  <c r="N9" i="3"/>
  <c r="AD9" i="3"/>
  <c r="AE9" i="3"/>
  <c r="Z13" i="3"/>
  <c r="R4" i="3"/>
  <c r="O9" i="3"/>
  <c r="AD11" i="3"/>
  <c r="Z14" i="3"/>
  <c r="Z10" i="3"/>
  <c r="AE14" i="3"/>
  <c r="T4" i="3"/>
  <c r="Z9" i="3"/>
  <c r="R5" i="3"/>
  <c r="AE11" i="3"/>
  <c r="AD10" i="3"/>
  <c r="Z12" i="3"/>
  <c r="N11" i="3"/>
  <c r="T5" i="3"/>
  <c r="V5" i="3"/>
  <c r="AD12" i="3"/>
  <c r="AD14" i="3"/>
  <c r="AE10" i="3"/>
  <c r="V4" i="3"/>
  <c r="AD13" i="3"/>
  <c r="O6" i="3" l="1"/>
  <c r="O5" i="3" s="1"/>
  <c r="V6" i="3" s="1"/>
  <c r="AF10" i="3"/>
  <c r="AF12" i="3"/>
  <c r="AF11" i="3"/>
  <c r="N12" i="3"/>
  <c r="O11" i="3"/>
  <c r="N6" i="3"/>
  <c r="N5" i="3" s="1"/>
  <c r="T6" i="3" s="1"/>
  <c r="AF14" i="3"/>
  <c r="Q10" i="3"/>
  <c r="Q11" i="3" s="1"/>
  <c r="Q12" i="3" s="1"/>
  <c r="Q13" i="3" s="1"/>
  <c r="Q14" i="3" s="1"/>
  <c r="Q15" i="3" s="1"/>
  <c r="Q16" i="3" s="1"/>
  <c r="AF9" i="3"/>
  <c r="AF13" i="3"/>
  <c r="Q17" i="3" l="1"/>
  <c r="Q18" i="3" l="1"/>
  <c r="Q19" i="3" l="1"/>
  <c r="Q20" i="3" l="1"/>
  <c r="Q21" i="3" l="1"/>
  <c r="Q22" i="3" l="1"/>
  <c r="N10" i="3"/>
  <c r="O10" i="3"/>
  <c r="N1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Q7" authorId="0" shapeId="0" xr:uid="{63CA0011-F06E-4604-B3CD-3CA563062DEE}">
      <text>
        <r>
          <rPr>
            <b/>
            <sz val="9"/>
            <color indexed="81"/>
            <rFont val="Tahoma"/>
            <family val="2"/>
          </rPr>
          <t>You have the choice to schedule using a five or a six day work week.
Does this trade work Saturdays YES or NO?
NOTE: You can set the project default and include Saturdays in the Holiday list on the settings worksheet.</t>
        </r>
      </text>
    </comment>
    <comment ref="AA8" authorId="0" shapeId="0" xr:uid="{EC26302D-CCFC-4D1A-8ABD-CF2B709F7BFF}">
      <text>
        <r>
          <rPr>
            <sz val="9"/>
            <color indexed="81"/>
            <rFont val="Tahoma"/>
            <family val="2"/>
          </rPr>
          <t>SD or Short Description
This is used on the bar to denote what areas the progress comes from.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AE9FE9-EAE4-4CE0-B82D-EAE22D326FC0}" keepAlive="1" name="Query - UIP_Main" description="Connection to the 'UIP_Main' query in the workbook." type="5" refreshedVersion="6" saveData="1">
    <dbPr connection="Provider=Microsoft.Mashup.OleDb.1;Data Source=$Workbook$;Location=UIP_Main;Extended Properties=&quot;&quot;" command="SELECT * FROM [UIP_Main]"/>
  </connection>
</connections>
</file>

<file path=xl/sharedStrings.xml><?xml version="1.0" encoding="utf-8"?>
<sst xmlns="http://schemas.openxmlformats.org/spreadsheetml/2006/main" count="323" uniqueCount="293">
  <si>
    <t>UID</t>
  </si>
  <si>
    <t>Description</t>
  </si>
  <si>
    <t>Total SF</t>
  </si>
  <si>
    <t>Block Type</t>
  </si>
  <si>
    <t>Total</t>
  </si>
  <si>
    <t>4</t>
  </si>
  <si>
    <t>8</t>
  </si>
  <si>
    <t>12</t>
  </si>
  <si>
    <t>16</t>
  </si>
  <si>
    <t>20</t>
  </si>
  <si>
    <t>24</t>
  </si>
  <si>
    <t>28</t>
  </si>
  <si>
    <t>Topped Out</t>
  </si>
  <si>
    <t>Completed Total</t>
  </si>
  <si>
    <t>BB Complete</t>
  </si>
  <si>
    <t>BB 25 Percent</t>
  </si>
  <si>
    <t>BB 50 Percent</t>
  </si>
  <si>
    <t>BB 75 Percent</t>
  </si>
  <si>
    <t>M1</t>
  </si>
  <si>
    <t>Placeholder</t>
  </si>
  <si>
    <t>V1</t>
  </si>
  <si>
    <t>A1</t>
  </si>
  <si>
    <t>Soffit A</t>
  </si>
  <si>
    <t>A2</t>
  </si>
  <si>
    <t>Soffit B</t>
  </si>
  <si>
    <t>A3</t>
  </si>
  <si>
    <t>Soffit C</t>
  </si>
  <si>
    <t>A4</t>
  </si>
  <si>
    <t>Soffit D</t>
  </si>
  <si>
    <t>A5</t>
  </si>
  <si>
    <t>Soffit E</t>
  </si>
  <si>
    <t>A6</t>
  </si>
  <si>
    <t>Soffit F</t>
  </si>
  <si>
    <t>A7</t>
  </si>
  <si>
    <t>Soffit G</t>
  </si>
  <si>
    <t>A8</t>
  </si>
  <si>
    <t>Soffit H</t>
  </si>
  <si>
    <t>A9</t>
  </si>
  <si>
    <t>Soffit J</t>
  </si>
  <si>
    <t>A10</t>
  </si>
  <si>
    <t>Soffit K</t>
  </si>
  <si>
    <t>A11</t>
  </si>
  <si>
    <t>Soffit L</t>
  </si>
  <si>
    <t>A12</t>
  </si>
  <si>
    <t>Soffit M</t>
  </si>
  <si>
    <t>A13</t>
  </si>
  <si>
    <t>Tile A</t>
  </si>
  <si>
    <t>A14</t>
  </si>
  <si>
    <t>Tile B</t>
  </si>
  <si>
    <t>A15</t>
  </si>
  <si>
    <t>Tile C</t>
  </si>
  <si>
    <t>A16</t>
  </si>
  <si>
    <t>Tile D</t>
  </si>
  <si>
    <t>A17</t>
  </si>
  <si>
    <t>Tile E</t>
  </si>
  <si>
    <t>A18</t>
  </si>
  <si>
    <t>Tile F</t>
  </si>
  <si>
    <t>A19</t>
  </si>
  <si>
    <t>Tile G</t>
  </si>
  <si>
    <t>A20</t>
  </si>
  <si>
    <t>Tile H</t>
  </si>
  <si>
    <t>A21</t>
  </si>
  <si>
    <t>Tile J</t>
  </si>
  <si>
    <t>A22</t>
  </si>
  <si>
    <t>Tile K</t>
  </si>
  <si>
    <t>A23</t>
  </si>
  <si>
    <t>Tile L</t>
  </si>
  <si>
    <t>A24</t>
  </si>
  <si>
    <t>Tile M</t>
  </si>
  <si>
    <t>WA1</t>
  </si>
  <si>
    <t>Drywall A</t>
  </si>
  <si>
    <t>WA2</t>
  </si>
  <si>
    <t>Drywall B</t>
  </si>
  <si>
    <t>WA3</t>
  </si>
  <si>
    <t>Drywall C</t>
  </si>
  <si>
    <t>WA4</t>
  </si>
  <si>
    <t>Drywall D</t>
  </si>
  <si>
    <t>WA5</t>
  </si>
  <si>
    <t>Drywall E</t>
  </si>
  <si>
    <t>WA6</t>
  </si>
  <si>
    <t>Drywall F</t>
  </si>
  <si>
    <t>WA7</t>
  </si>
  <si>
    <t>Drywall G</t>
  </si>
  <si>
    <t>WA8</t>
  </si>
  <si>
    <t>Drywall H</t>
  </si>
  <si>
    <t>WA9</t>
  </si>
  <si>
    <t>Drywall J</t>
  </si>
  <si>
    <t>WA10</t>
  </si>
  <si>
    <t>Drywall K</t>
  </si>
  <si>
    <t>WA11</t>
  </si>
  <si>
    <t>Drywall L</t>
  </si>
  <si>
    <t>WA12</t>
  </si>
  <si>
    <t>Drywall M</t>
  </si>
  <si>
    <t>WA13</t>
  </si>
  <si>
    <t>Wall Tile A</t>
  </si>
  <si>
    <t>WA14</t>
  </si>
  <si>
    <t>Wall Tile B</t>
  </si>
  <si>
    <t>WA15</t>
  </si>
  <si>
    <t>Wall Tile C</t>
  </si>
  <si>
    <t>WA16</t>
  </si>
  <si>
    <t>Wall Tile D</t>
  </si>
  <si>
    <t>WA17</t>
  </si>
  <si>
    <t>Wall Tile E</t>
  </si>
  <si>
    <t>WA18</t>
  </si>
  <si>
    <t>Wall Tile F</t>
  </si>
  <si>
    <t>WA19</t>
  </si>
  <si>
    <t>Wall Tile G</t>
  </si>
  <si>
    <t>WA20</t>
  </si>
  <si>
    <t>Wall Tile H</t>
  </si>
  <si>
    <t>WA21</t>
  </si>
  <si>
    <t>Wall Tile J</t>
  </si>
  <si>
    <t>WA22</t>
  </si>
  <si>
    <t>Wall Tile K</t>
  </si>
  <si>
    <t>WA23</t>
  </si>
  <si>
    <t>Wall Tile L</t>
  </si>
  <si>
    <t>WA24</t>
  </si>
  <si>
    <t>Wall Tile M</t>
  </si>
  <si>
    <t>L1</t>
  </si>
  <si>
    <t>Metal Stud Framing - Area A</t>
  </si>
  <si>
    <t>L2</t>
  </si>
  <si>
    <t>Metal Stud Framing - Area B</t>
  </si>
  <si>
    <t>L3</t>
  </si>
  <si>
    <t>Metal Stud Framing - Area C</t>
  </si>
  <si>
    <t>L4</t>
  </si>
  <si>
    <t>Metal Stud Framing - Area D</t>
  </si>
  <si>
    <t>L5</t>
  </si>
  <si>
    <t>Metal Stud Framing - Area E</t>
  </si>
  <si>
    <t>L6</t>
  </si>
  <si>
    <t>Metal Stud Framing - Area F</t>
  </si>
  <si>
    <t>L7</t>
  </si>
  <si>
    <t>Metal Stud Framing - Area G</t>
  </si>
  <si>
    <t>L8</t>
  </si>
  <si>
    <t>Metal Stud Framing - Area H</t>
  </si>
  <si>
    <t>L9</t>
  </si>
  <si>
    <t>Metal Stud Framing - Area J</t>
  </si>
  <si>
    <t>L10</t>
  </si>
  <si>
    <t>Metal Stud Framing - Area K</t>
  </si>
  <si>
    <t>L11</t>
  </si>
  <si>
    <t>Metal Stud Framing - Area L</t>
  </si>
  <si>
    <t>L12</t>
  </si>
  <si>
    <t>Metal Stud Framing - Area M</t>
  </si>
  <si>
    <t>L13</t>
  </si>
  <si>
    <t>Hydronics Area A - Large</t>
  </si>
  <si>
    <t>L14</t>
  </si>
  <si>
    <t>Hydronics Area B - Large</t>
  </si>
  <si>
    <t>L15</t>
  </si>
  <si>
    <t>Hydronics Area C - Large</t>
  </si>
  <si>
    <t>L16</t>
  </si>
  <si>
    <t>Hydronics Area D - Large</t>
  </si>
  <si>
    <t>L17</t>
  </si>
  <si>
    <t>Hydronics Area E - Large</t>
  </si>
  <si>
    <t>L18</t>
  </si>
  <si>
    <t>Hydronics Area F - Large</t>
  </si>
  <si>
    <t>L19</t>
  </si>
  <si>
    <t>Hydronics Area G - Large</t>
  </si>
  <si>
    <t>L20</t>
  </si>
  <si>
    <t>Hydronics Area H - Large</t>
  </si>
  <si>
    <t>L21</t>
  </si>
  <si>
    <t>Hydronics Area J - Large</t>
  </si>
  <si>
    <t>L22</t>
  </si>
  <si>
    <t>Hydronics Area K - Large</t>
  </si>
  <si>
    <t>L23</t>
  </si>
  <si>
    <t>Hydronics Area L - Large</t>
  </si>
  <si>
    <t>L24</t>
  </si>
  <si>
    <t>Hydronics Area M - Large</t>
  </si>
  <si>
    <t>L25</t>
  </si>
  <si>
    <t>L26</t>
  </si>
  <si>
    <t>L27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</si>
  <si>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</si>
  <si>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</si>
  <si>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</si>
  <si>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</si>
  <si>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</si>
  <si>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</si>
  <si>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</si>
  <si>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</si>
  <si>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</si>
  <si>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C1</t>
  </si>
  <si>
    <t>Finish Cabinetry A</t>
  </si>
  <si>
    <t>C2</t>
  </si>
  <si>
    <t>Finish Cabinetry B</t>
  </si>
  <si>
    <t>C3</t>
  </si>
  <si>
    <t>Finish Cabinetry C</t>
  </si>
  <si>
    <t>C4</t>
  </si>
  <si>
    <t>Finish Cabinetry D</t>
  </si>
  <si>
    <t>C5</t>
  </si>
  <si>
    <t>Finish Cabinetry E</t>
  </si>
  <si>
    <t>C6</t>
  </si>
  <si>
    <t>Finish Cabinetry F</t>
  </si>
  <si>
    <t>C7</t>
  </si>
  <si>
    <t>Finish Cabinetry G</t>
  </si>
  <si>
    <t>C8</t>
  </si>
  <si>
    <t>Finish Cabinetry H</t>
  </si>
  <si>
    <t>C9</t>
  </si>
  <si>
    <t>Finish Cabinetry J</t>
  </si>
  <si>
    <t>C10</t>
  </si>
  <si>
    <t>Finish Cabinetry K</t>
  </si>
  <si>
    <t>C11</t>
  </si>
  <si>
    <t>Finish Cabinetry L</t>
  </si>
  <si>
    <t>C12</t>
  </si>
  <si>
    <t>Finish Cabinetry M</t>
  </si>
  <si>
    <t>NEEDS UPDATE!</t>
  </si>
  <si>
    <t>Sheet Name:</t>
  </si>
  <si>
    <t>Path to Takeoff File:</t>
  </si>
  <si>
    <t xml:space="preserve">Report Week: </t>
  </si>
  <si>
    <t>Secondary File Path:</t>
  </si>
  <si>
    <t>Project:</t>
  </si>
  <si>
    <t>Plan</t>
  </si>
  <si>
    <t>Actual</t>
  </si>
  <si>
    <t>Start Date:</t>
  </si>
  <si>
    <t>Weekly Plan Total:</t>
  </si>
  <si>
    <t>Total:</t>
  </si>
  <si>
    <t>Project ID:</t>
  </si>
  <si>
    <t>Overall Progress (%)</t>
  </si>
  <si>
    <t>Finish Date:</t>
  </si>
  <si>
    <t>Accumulated Total:</t>
  </si>
  <si>
    <t>Completed Total:</t>
  </si>
  <si>
    <t>Subcontractor:</t>
  </si>
  <si>
    <t>Units:</t>
  </si>
  <si>
    <t>Plan Remaining:</t>
  </si>
  <si>
    <t>Actual Remaining:</t>
  </si>
  <si>
    <t>Trade:</t>
  </si>
  <si>
    <t>Count Sat.?</t>
  </si>
  <si>
    <t xml:space="preserve">Schedule Run Date: </t>
  </si>
  <si>
    <t>Name 1</t>
  </si>
  <si>
    <t>Name 2</t>
  </si>
  <si>
    <t>SD</t>
  </si>
  <si>
    <t>Start Date</t>
  </si>
  <si>
    <t>Finish Date</t>
  </si>
  <si>
    <t>Percent Complete</t>
  </si>
  <si>
    <t>Date</t>
  </si>
  <si>
    <t>Weekly Plan</t>
  </si>
  <si>
    <t>Weekly Actual</t>
  </si>
  <si>
    <t>Accumulated Plan</t>
  </si>
  <si>
    <t>Accumulated Actual</t>
  </si>
  <si>
    <t>Primary Areas</t>
  </si>
  <si>
    <t>Temp</t>
  </si>
  <si>
    <t>A</t>
  </si>
  <si>
    <t>Scheduled Finish Date</t>
  </si>
  <si>
    <t>Projected Finish Date</t>
  </si>
  <si>
    <t>NORMAL GRAPH</t>
  </si>
  <si>
    <t>Project Name:</t>
  </si>
  <si>
    <t>Herriman High 2</t>
  </si>
  <si>
    <t>Project Manager:</t>
  </si>
  <si>
    <t>Trent Huntsman</t>
  </si>
  <si>
    <t>W1027</t>
  </si>
  <si>
    <t>Superintendents:</t>
  </si>
  <si>
    <t>John Ebner</t>
  </si>
  <si>
    <t>Report Week:</t>
  </si>
  <si>
    <t>Project Engineer:</t>
  </si>
  <si>
    <t>Camron Walker</t>
  </si>
  <si>
    <t>Phase</t>
  </si>
  <si>
    <t>Reported</t>
  </si>
  <si>
    <t>Phase Description</t>
  </si>
  <si>
    <t>Trade ID</t>
  </si>
  <si>
    <t>Trade</t>
  </si>
  <si>
    <t>Sub Contractor</t>
  </si>
  <si>
    <t>Plan %</t>
  </si>
  <si>
    <t>Actual %</t>
  </si>
  <si>
    <t>Completion Date</t>
  </si>
  <si>
    <t>03</t>
  </si>
  <si>
    <t>Concrete</t>
  </si>
  <si>
    <t>04</t>
  </si>
  <si>
    <t>Masonry</t>
  </si>
  <si>
    <t>05</t>
  </si>
  <si>
    <t>Metals</t>
  </si>
  <si>
    <t>06</t>
  </si>
  <si>
    <t>Wood, Plastics &amp; Composites</t>
  </si>
  <si>
    <t>07</t>
  </si>
  <si>
    <t>Thermal &amp; Moisture Protection</t>
  </si>
  <si>
    <t>08</t>
  </si>
  <si>
    <t>Openings</t>
  </si>
  <si>
    <t>09</t>
  </si>
  <si>
    <t>NO</t>
  </si>
  <si>
    <t>Finishes</t>
  </si>
  <si>
    <t>Specialities</t>
  </si>
  <si>
    <t>Equipment</t>
  </si>
  <si>
    <t>Furnishings</t>
  </si>
  <si>
    <t xml:space="preserve">Special Construction </t>
  </si>
  <si>
    <t>Plumbing</t>
  </si>
  <si>
    <t>HVAC</t>
  </si>
  <si>
    <t>Integrated Automation</t>
  </si>
  <si>
    <t>Electrical</t>
  </si>
  <si>
    <t>Communications</t>
  </si>
  <si>
    <t>Electronic Safety &amp; Security</t>
  </si>
  <si>
    <t>Earthwork</t>
  </si>
  <si>
    <t>Site Improvements</t>
  </si>
  <si>
    <t>M</t>
  </si>
  <si>
    <t>Miscellaneous</t>
  </si>
  <si>
    <t>S</t>
  </si>
  <si>
    <t>Sample</t>
  </si>
  <si>
    <t>Sample Trade</t>
  </si>
  <si>
    <t>XYZ Corp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</si>
</sst>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yyyy\-mm\-dd"/>
    <numFmt numFmtId="166" formatCode="[$-409]mmmm\ d\,\ yyyy;@"/>
    <numFmt numFmtId="167" formatCode="m/d/yy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.5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i/>
      <sz val="24"/>
      <color theme="1"/>
      <name val="Arial Narrow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7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3F3F3F"/>
      <name val="Calibri"/>
      <family val="2"/>
      <scheme val="minor"/>
    </font>
    <font>
      <i/>
      <sz val="36"/>
      <color theme="1"/>
      <name val="Arial Narrow"/>
      <family val="2"/>
    </font>
    <font>
      <b/>
      <i/>
      <sz val="36"/>
      <color theme="1"/>
      <name val="Arial Narrow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2" fillId="3" borderId="19" applyNumberFormat="0" applyAlignment="0" applyProtection="0"/>
    <xf numFmtId="0" fontId="20" fillId="0" borderId="0" applyNumberFormat="0" applyFill="0" applyBorder="0" applyAlignment="0" applyProtection="0"/>
  </cellStyleXfs>
  <cellXfs count="119">
    <xf numFmtId="0" fontId="0" fillId="0" borderId="0" xfId="0"/>
    <xf numFmtId="0" fontId="0" fillId="0" borderId="5" xfId="0" applyBorder="1" applyAlignment="1">
      <alignment horizontal="right"/>
    </xf>
    <xf numFmtId="0" fontId="3" fillId="3" borderId="5" xfId="3" applyBorder="1"/>
    <xf numFmtId="14" fontId="3" fillId="3" borderId="5" xfId="3" applyNumberFormat="1" applyBorder="1"/>
    <xf numFmtId="0" fontId="7" fillId="0" borderId="9" xfId="0" applyFont="1" applyBorder="1" applyAlignment="1">
      <alignment horizontal="right" vertical="center" indent="1"/>
    </xf>
    <xf numFmtId="10" fontId="8" fillId="0" borderId="10" xfId="0" applyNumberFormat="1" applyFont="1" applyBorder="1" applyAlignment="1">
      <alignment horizontal="center" vertical="center"/>
    </xf>
    <xf numFmtId="10" fontId="8" fillId="0" borderId="11" xfId="0" applyNumberFormat="1" applyFont="1" applyBorder="1" applyAlignment="1">
      <alignment horizontal="center" vertical="center"/>
    </xf>
    <xf numFmtId="164" fontId="7" fillId="0" borderId="5" xfId="0" applyNumberFormat="1" applyFont="1" applyBorder="1" applyAlignment="1">
      <alignment horizontal="center" vertical="center"/>
    </xf>
    <xf numFmtId="164" fontId="7" fillId="0" borderId="12" xfId="0" applyNumberFormat="1" applyFont="1" applyBorder="1" applyAlignment="1">
      <alignment horizontal="center" vertical="center"/>
    </xf>
    <xf numFmtId="3" fontId="7" fillId="0" borderId="5" xfId="0" applyNumberFormat="1" applyFont="1" applyBorder="1" applyAlignment="1">
      <alignment horizontal="center" vertical="center"/>
    </xf>
    <xf numFmtId="3" fontId="7" fillId="0" borderId="12" xfId="0" applyNumberFormat="1" applyFont="1" applyBorder="1" applyAlignment="1">
      <alignment horizontal="center" vertical="center"/>
    </xf>
    <xf numFmtId="0" fontId="2" fillId="2" borderId="5" xfId="2" applyBorder="1"/>
    <xf numFmtId="164" fontId="3" fillId="3" borderId="5" xfId="3" applyNumberFormat="1" applyBorder="1"/>
    <xf numFmtId="0" fontId="0" fillId="0" borderId="0" xfId="0" applyAlignment="1">
      <alignment horizontal="right"/>
    </xf>
    <xf numFmtId="14" fontId="2" fillId="2" borderId="1" xfId="2" applyNumberFormat="1"/>
    <xf numFmtId="164" fontId="0" fillId="0" borderId="0" xfId="0" applyNumberFormat="1"/>
    <xf numFmtId="0" fontId="7" fillId="0" borderId="9" xfId="0" applyFont="1" applyBorder="1"/>
    <xf numFmtId="0" fontId="7" fillId="0" borderId="0" xfId="0" applyFont="1"/>
    <xf numFmtId="14" fontId="0" fillId="0" borderId="0" xfId="0" applyNumberFormat="1"/>
    <xf numFmtId="1" fontId="7" fillId="0" borderId="5" xfId="0" applyNumberFormat="1" applyFont="1" applyBorder="1" applyAlignment="1">
      <alignment horizontal="center" vertical="center"/>
    </xf>
    <xf numFmtId="1" fontId="7" fillId="0" borderId="12" xfId="0" applyNumberFormat="1" applyFont="1" applyBorder="1" applyAlignment="1">
      <alignment horizontal="center" vertical="center"/>
    </xf>
    <xf numFmtId="0" fontId="2" fillId="2" borderId="1" xfId="2"/>
    <xf numFmtId="9" fontId="0" fillId="0" borderId="0" xfId="1" applyFont="1"/>
    <xf numFmtId="165" fontId="0" fillId="0" borderId="0" xfId="0" applyNumberFormat="1" applyAlignment="1">
      <alignment horizontal="left"/>
    </xf>
    <xf numFmtId="0" fontId="9" fillId="0" borderId="13" xfId="0" applyFont="1" applyBorder="1"/>
    <xf numFmtId="0" fontId="9" fillId="0" borderId="15" xfId="0" applyFont="1" applyBorder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17" xfId="0" applyFont="1" applyBorder="1"/>
    <xf numFmtId="165" fontId="0" fillId="0" borderId="0" xfId="0" applyNumberFormat="1"/>
    <xf numFmtId="0" fontId="7" fillId="0" borderId="18" xfId="0" applyFont="1" applyBorder="1"/>
    <xf numFmtId="0" fontId="7" fillId="0" borderId="15" xfId="0" applyFont="1" applyBorder="1"/>
    <xf numFmtId="0" fontId="7" fillId="0" borderId="16" xfId="0" applyFont="1" applyBorder="1"/>
    <xf numFmtId="0" fontId="7" fillId="0" borderId="5" xfId="0" applyFont="1" applyBorder="1" applyAlignment="1">
      <alignment horizontal="right" vertical="center" indent="1"/>
    </xf>
    <xf numFmtId="0" fontId="4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2" fillId="2" borderId="5" xfId="2" applyBorder="1"/>
    <xf numFmtId="0" fontId="7" fillId="0" borderId="0" xfId="0" applyFont="1"/>
    <xf numFmtId="0" fontId="8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13" xfId="0" applyFont="1" applyBorder="1" applyAlignment="1">
      <alignment horizontal="right" wrapText="1" indent="1"/>
    </xf>
    <xf numFmtId="0" fontId="9" fillId="0" borderId="14" xfId="0" applyFont="1" applyBorder="1" applyAlignment="1">
      <alignment horizontal="right" wrapText="1" indent="1"/>
    </xf>
    <xf numFmtId="0" fontId="9" fillId="0" borderId="15" xfId="0" applyFont="1" applyBorder="1" applyAlignment="1">
      <alignment horizontal="right" wrapText="1" indent="1"/>
    </xf>
    <xf numFmtId="0" fontId="9" fillId="0" borderId="16" xfId="0" applyFont="1" applyBorder="1" applyAlignment="1">
      <alignment horizontal="right" wrapText="1" indent="1"/>
    </xf>
    <xf numFmtId="0" fontId="7" fillId="0" borderId="5" xfId="0" applyFont="1" applyBorder="1" applyAlignment="1">
      <alignment horizontal="right" indent="1"/>
    </xf>
    <xf numFmtId="14" fontId="7" fillId="0" borderId="5" xfId="0" applyNumberFormat="1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14" fontId="7" fillId="0" borderId="12" xfId="0" applyNumberFormat="1" applyFont="1" applyBorder="1" applyAlignment="1">
      <alignment horizontal="center"/>
    </xf>
    <xf numFmtId="0" fontId="13" fillId="4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4" borderId="17" xfId="0" applyFont="1" applyFill="1" applyBorder="1" applyAlignment="1">
      <alignment horizontal="center" vertical="center"/>
    </xf>
    <xf numFmtId="0" fontId="13" fillId="4" borderId="18" xfId="0" applyFont="1" applyFill="1" applyBorder="1" applyAlignment="1">
      <alignment horizontal="center" vertical="center"/>
    </xf>
    <xf numFmtId="0" fontId="13" fillId="4" borderId="15" xfId="0" applyFont="1" applyFill="1" applyBorder="1" applyAlignment="1">
      <alignment horizontal="center" vertical="center"/>
    </xf>
    <xf numFmtId="0" fontId="13" fillId="4" borderId="16" xfId="0" applyFont="1" applyFill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5" fillId="0" borderId="9" xfId="0" applyFont="1" applyBorder="1" applyAlignment="1">
      <alignment horizontal="right" vertical="center" indent="1"/>
    </xf>
    <xf numFmtId="0" fontId="15" fillId="0" borderId="0" xfId="0" applyFont="1" applyAlignment="1">
      <alignment horizontal="right" vertical="center" indent="1"/>
    </xf>
    <xf numFmtId="0" fontId="16" fillId="0" borderId="0" xfId="0" applyFont="1" applyAlignment="1">
      <alignment horizontal="left" vertical="center"/>
    </xf>
    <xf numFmtId="0" fontId="8" fillId="0" borderId="0" xfId="0" applyFont="1" applyAlignment="1">
      <alignment horizontal="right" vertical="center" wrapText="1" indent="1"/>
    </xf>
    <xf numFmtId="164" fontId="17" fillId="0" borderId="0" xfId="0" applyNumberFormat="1" applyFont="1" applyAlignment="1">
      <alignment vertical="center"/>
    </xf>
    <xf numFmtId="164" fontId="17" fillId="0" borderId="17" xfId="0" applyNumberFormat="1" applyFont="1" applyBorder="1" applyAlignment="1">
      <alignment vertical="center"/>
    </xf>
    <xf numFmtId="166" fontId="16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right" vertical="center" indent="1"/>
    </xf>
    <xf numFmtId="0" fontId="15" fillId="0" borderId="9" xfId="0" applyFont="1" applyBorder="1" applyAlignment="1">
      <alignment horizontal="center"/>
    </xf>
    <xf numFmtId="0" fontId="15" fillId="0" borderId="0" xfId="0" applyFont="1" applyAlignment="1">
      <alignment horizontal="center"/>
    </xf>
    <xf numFmtId="166" fontId="16" fillId="0" borderId="0" xfId="0" applyNumberFormat="1" applyFont="1" applyAlignment="1">
      <alignment horizontal="left"/>
    </xf>
    <xf numFmtId="0" fontId="8" fillId="0" borderId="0" xfId="0" applyFont="1" applyAlignment="1">
      <alignment horizontal="center"/>
    </xf>
    <xf numFmtId="0" fontId="7" fillId="0" borderId="17" xfId="0" applyFont="1" applyBorder="1" applyAlignment="1">
      <alignment horizontal="left"/>
    </xf>
    <xf numFmtId="0" fontId="17" fillId="0" borderId="9" xfId="0" applyFont="1" applyBorder="1"/>
    <xf numFmtId="0" fontId="17" fillId="0" borderId="0" xfId="0" applyFont="1"/>
    <xf numFmtId="164" fontId="18" fillId="0" borderId="0" xfId="0" applyNumberFormat="1" applyFont="1" applyAlignment="1">
      <alignment horizontal="center"/>
    </xf>
    <xf numFmtId="167" fontId="17" fillId="0" borderId="17" xfId="0" applyNumberFormat="1" applyFont="1" applyBorder="1"/>
    <xf numFmtId="0" fontId="19" fillId="4" borderId="20" xfId="0" applyFont="1" applyFill="1" applyBorder="1" applyAlignment="1">
      <alignment horizontal="center" wrapText="1"/>
    </xf>
    <xf numFmtId="0" fontId="19" fillId="4" borderId="21" xfId="0" applyFont="1" applyFill="1" applyBorder="1" applyAlignment="1">
      <alignment horizontal="center" wrapText="1"/>
    </xf>
    <xf numFmtId="0" fontId="19" fillId="4" borderId="22" xfId="0" applyFont="1" applyFill="1" applyBorder="1" applyAlignment="1">
      <alignment wrapText="1"/>
    </xf>
    <xf numFmtId="0" fontId="19" fillId="4" borderId="22" xfId="0" applyFont="1" applyFill="1" applyBorder="1" applyAlignment="1">
      <alignment horizontal="center" wrapText="1"/>
    </xf>
    <xf numFmtId="0" fontId="19" fillId="4" borderId="22" xfId="0" applyFont="1" applyFill="1" applyBorder="1" applyAlignment="1">
      <alignment horizontal="left" wrapText="1"/>
    </xf>
    <xf numFmtId="164" fontId="19" fillId="4" borderId="23" xfId="0" applyNumberFormat="1" applyFont="1" applyFill="1" applyBorder="1" applyAlignment="1">
      <alignment horizontal="center" wrapText="1"/>
    </xf>
    <xf numFmtId="164" fontId="19" fillId="4" borderId="24" xfId="0" applyNumberFormat="1" applyFont="1" applyFill="1" applyBorder="1" applyAlignment="1">
      <alignment horizontal="center" wrapText="1"/>
    </xf>
    <xf numFmtId="167" fontId="19" fillId="4" borderId="25" xfId="0" applyNumberFormat="1" applyFont="1" applyFill="1" applyBorder="1" applyAlignment="1">
      <alignment horizontal="center" wrapText="1"/>
    </xf>
    <xf numFmtId="0" fontId="8" fillId="0" borderId="26" xfId="0" quotePrefix="1" applyFont="1" applyBorder="1" applyAlignment="1">
      <alignment horizontal="center" vertical="center"/>
    </xf>
    <xf numFmtId="0" fontId="8" fillId="0" borderId="27" xfId="0" quotePrefix="1" applyFont="1" applyBorder="1" applyAlignment="1">
      <alignment horizontal="center" vertical="center"/>
    </xf>
    <xf numFmtId="0" fontId="8" fillId="0" borderId="28" xfId="0" applyFont="1" applyBorder="1" applyAlignment="1">
      <alignment horizontal="left" vertical="center"/>
    </xf>
    <xf numFmtId="49" fontId="20" fillId="0" borderId="29" xfId="5" quotePrefix="1" applyNumberFormat="1" applyBorder="1" applyAlignment="1">
      <alignment horizontal="center"/>
    </xf>
    <xf numFmtId="0" fontId="7" fillId="0" borderId="28" xfId="0" applyFont="1" applyBorder="1" applyAlignment="1">
      <alignment horizontal="left"/>
    </xf>
    <xf numFmtId="164" fontId="8" fillId="0" borderId="30" xfId="0" applyNumberFormat="1" applyFont="1" applyBorder="1" applyAlignment="1">
      <alignment horizontal="center"/>
    </xf>
    <xf numFmtId="167" fontId="8" fillId="0" borderId="31" xfId="0" applyNumberFormat="1" applyFont="1" applyBorder="1" applyAlignment="1">
      <alignment horizontal="center"/>
    </xf>
    <xf numFmtId="0" fontId="7" fillId="0" borderId="29" xfId="0" applyFont="1" applyBorder="1" applyAlignment="1">
      <alignment horizontal="left"/>
    </xf>
    <xf numFmtId="0" fontId="7" fillId="0" borderId="26" xfId="0" quotePrefix="1" applyFont="1" applyBorder="1" applyAlignment="1">
      <alignment horizontal="center" vertical="center"/>
    </xf>
    <xf numFmtId="0" fontId="7" fillId="0" borderId="27" xfId="0" quotePrefix="1" applyFont="1" applyBorder="1" applyAlignment="1">
      <alignment horizontal="center" vertical="center"/>
    </xf>
    <xf numFmtId="0" fontId="7" fillId="0" borderId="28" xfId="0" applyFont="1" applyBorder="1" applyAlignment="1">
      <alignment horizontal="left" vertical="center"/>
    </xf>
    <xf numFmtId="0" fontId="20" fillId="0" borderId="29" xfId="5" quotePrefix="1" applyBorder="1" applyAlignment="1">
      <alignment horizontal="center"/>
    </xf>
    <xf numFmtId="49" fontId="20" fillId="0" borderId="28" xfId="5" quotePrefix="1" applyNumberFormat="1" applyBorder="1" applyAlignment="1">
      <alignment horizontal="center"/>
    </xf>
    <xf numFmtId="0" fontId="20" fillId="0" borderId="28" xfId="5" quotePrefix="1" applyBorder="1" applyAlignment="1">
      <alignment horizontal="center"/>
    </xf>
    <xf numFmtId="49" fontId="20" fillId="0" borderId="28" xfId="5" applyNumberFormat="1" applyBorder="1" applyAlignment="1">
      <alignment horizont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164" fontId="8" fillId="0" borderId="28" xfId="0" applyNumberFormat="1" applyFont="1" applyBorder="1" applyAlignment="1">
      <alignment horizontal="center"/>
    </xf>
    <xf numFmtId="0" fontId="8" fillId="0" borderId="32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3" xfId="0" applyFont="1" applyBorder="1" applyAlignment="1">
      <alignment horizontal="left" vertical="center"/>
    </xf>
    <xf numFmtId="0" fontId="20" fillId="0" borderId="33" xfId="5" applyBorder="1" applyAlignment="1">
      <alignment horizontal="center"/>
    </xf>
    <xf numFmtId="0" fontId="7" fillId="0" borderId="33" xfId="0" applyFont="1" applyBorder="1" applyAlignment="1">
      <alignment horizontal="left"/>
    </xf>
    <xf numFmtId="164" fontId="8" fillId="0" borderId="33" xfId="0" applyNumberFormat="1" applyFont="1" applyBorder="1" applyAlignment="1">
      <alignment horizontal="center"/>
    </xf>
    <xf numFmtId="167" fontId="8" fillId="0" borderId="34" xfId="0" applyNumberFormat="1" applyFont="1" applyBorder="1" applyAlignment="1">
      <alignment horizontal="center"/>
    </xf>
    <xf numFmtId="0" fontId="12" fillId="3" borderId="19" xfId="4"/>
  </cellXfs>
  <cellStyles count="6">
    <cellStyle name="Calculation" xfId="3" builtinId="22"/>
    <cellStyle name="Hyperlink" xfId="5" builtinId="8"/>
    <cellStyle name="Input" xfId="2" builtinId="20"/>
    <cellStyle name="Normal" xfId="0" builtinId="0"/>
    <cellStyle name="Output" xfId="4" builtinId="21"/>
    <cellStyle name="Percent" xfId="1" builtinId="5"/>
  </cellStyles>
  <dxfs count="32"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7" formatCode="m/d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</dxf>
    <dxf>
      <numFmt numFmtId="0" formatCode="General"/>
    </dxf>
    <dxf>
      <numFmt numFmtId="0" formatCode="General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font>
        <b val="0"/>
      </font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Template!$R$9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991BC2D-CD25-49B0-B719-7A1FB2DE4D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36A-4C02-ACAF-768C62960B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96E8674-2276-4F5D-B708-18F6D7E837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6A-4C02-ACAF-768C62960B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D81A00-3ECD-477A-BF09-B4D51F77B1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6A-4C02-ACAF-768C62960B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ACACF0A-A6E1-442F-9F5E-91A7F33A75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6A-4C02-ACAF-768C62960B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2EDB41-98DB-4E53-A9F0-891FAF9F5D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6A-4C02-ACAF-768C62960B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0A986F5-9198-4337-8978-748D3F6ACA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6A-4C02-ACAF-768C62960B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1BDADDA-876B-4F54-A559-5C9CFB7EA5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6A-4C02-ACAF-768C62960B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850512B-5706-4550-A925-CFDE53B75B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6A-4C02-ACAF-768C62960B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D380598-7FA5-4C44-8979-C93F27C234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6A-4C02-ACAF-768C62960B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B170B6B-5CF6-4F8E-9E87-AE4B6C600F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6A-4C02-ACAF-768C62960B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71CBB3D-E8C7-493D-8B68-88B5931C2E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6A-4C02-ACAF-768C62960B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776AF2C-C294-41C1-A4D7-3D94C4715A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6A-4C02-ACAF-768C62960B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E1673C4-0CC4-48E5-8A5B-C5E21B9895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6A-4C02-ACAF-768C62960B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Template!$R$10:$R$22</c:f>
              <c:numCache>
                <c:formatCode>General</c:formatCode>
                <c:ptCount val="1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Template!$V$10:$V$22</c15:f>
                <c15:dlblRangeCache>
                  <c:ptCount val="13"/>
                  <c:pt idx="0">
                    <c:v>Temp</c:v>
                  </c:pt>
                  <c:pt idx="1">
                    <c:v>A</c:v>
                  </c:pt>
                  <c:pt idx="2">
                    <c:v>A</c:v>
                  </c:pt>
                  <c:pt idx="3">
                    <c:v>A</c:v>
                  </c:pt>
                  <c:pt idx="4">
                    <c:v>A</c:v>
                  </c:pt>
                  <c:pt idx="5">
                    <c:v>A</c:v>
                  </c:pt>
                  <c:pt idx="6">
                    <c:v>A</c:v>
                  </c:pt>
                  <c:pt idx="7">
                    <c:v>A</c:v>
                  </c:pt>
                  <c:pt idx="8">
                    <c:v>A</c:v>
                  </c:pt>
                  <c:pt idx="9">
                    <c:v>A</c:v>
                  </c:pt>
                  <c:pt idx="10">
                    <c:v>A</c:v>
                  </c:pt>
                  <c:pt idx="11">
                    <c:v>A</c:v>
                  </c:pt>
                  <c:pt idx="12">
                    <c:v>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F36A-4C02-ACAF-768C62960BA3}"/>
            </c:ext>
          </c:extLst>
        </c:ser>
        <c:ser>
          <c:idx val="1"/>
          <c:order val="1"/>
          <c:tx>
            <c:strRef>
              <c:f>Template!$S$9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Template!$S$10:$S$22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E-F36A-4C02-ACAF-768C62960B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Template!$T$9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Template!$T$10:$T$22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36A-4C02-ACAF-768C62960BA3}"/>
            </c:ext>
          </c:extLst>
        </c:ser>
        <c:ser>
          <c:idx val="3"/>
          <c:order val="3"/>
          <c:tx>
            <c:strRef>
              <c:f>Template!$U$9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Template!$U$10:$U$22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36A-4C02-ACAF-768C62960B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(Template!$N$5,Template!$O$5)</c:f>
              <c:numCache>
                <c:formatCode>0.0%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A8-A3E0-8BCDD21F070A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(Template!$T$6,Template!$V$6)</c:f>
              <c:numCache>
                <c:formatCode>0.0%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A8-A3E0-8BCDD21F07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#Index!A1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437029</xdr:colOff>
      <xdr:row>1</xdr:row>
      <xdr:rowOff>35978</xdr:rowOff>
    </xdr:from>
    <xdr:to>
      <xdr:col>14</xdr:col>
      <xdr:colOff>651212</xdr:colOff>
      <xdr:row>2</xdr:row>
      <xdr:rowOff>178632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8549" y="226478"/>
          <a:ext cx="963483" cy="333154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3435</xdr:colOff>
      <xdr:row>1</xdr:row>
      <xdr:rowOff>40824</xdr:rowOff>
    </xdr:from>
    <xdr:to>
      <xdr:col>9</xdr:col>
      <xdr:colOff>1412995</xdr:colOff>
      <xdr:row>3</xdr:row>
      <xdr:rowOff>161381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EC171D-579E-4CD4-ABD3-E7C7E5838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15350" y="227514"/>
          <a:ext cx="1409560" cy="48631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definedNames>
      <definedName name="CompileFullReport"/>
      <definedName name="CompileSubReports"/>
      <definedName name="CreateNewSheet"/>
      <definedName name="ExportAllTrades"/>
    </definedNames>
    <sheetDataSet>
      <sheetData sheetId="0"/>
      <sheetData sheetId="1"/>
      <sheetData sheetId="2"/>
      <sheetData sheetId="3"/>
      <sheetData sheetId="4">
        <row r="8">
          <cell r="D8">
            <v>43521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34D2C25-F54B-43F0-90C8-C7C43BC069F2}" autoFormatId="16" applyNumberFormats="0" applyBorderFormats="0" applyFontFormats="0" applyPatternFormats="0" applyAlignmentFormats="0" applyWidthHeightFormats="0">
  <queryTableRefresh nextId="19">
    <queryTableFields count="18">
      <queryTableField id="1" name="UID" tableColumnId="1"/>
      <queryTableField id="2" name="Description" tableColumnId="2"/>
      <queryTableField id="3" name="Total SF" tableColumnId="3"/>
      <queryTableField id="4" name="Block Type" tableColumnId="4"/>
      <queryTableField id="5" name="Total" tableColumnId="5"/>
      <queryTableField id="6" name="4" tableColumnId="6"/>
      <queryTableField id="7" name="8" tableColumnId="7"/>
      <queryTableField id="8" name="12" tableColumnId="8"/>
      <queryTableField id="9" name="16" tableColumnId="9"/>
      <queryTableField id="10" name="20" tableColumnId="10"/>
      <queryTableField id="11" name="24" tableColumnId="11"/>
      <queryTableField id="12" name="28" tableColumnId="12"/>
      <queryTableField id="13" name="Topped Out" tableColumnId="13"/>
      <queryTableField id="14" name="Completed Total" tableColumnId="14"/>
      <queryTableField id="15" name="BB Complete" tableColumnId="15"/>
      <queryTableField id="16" name="BB 25 Percent" tableColumnId="16"/>
      <queryTableField id="17" name="BB 50 Percent" tableColumnId="17"/>
      <queryTableField id="18" name="BB 75 Percent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DDA38B-AD6E-4F84-AE49-206E393E43B9}" name="UIP_Main" displayName="UIP_Main" ref="A1:R99" tableType="queryTable" totalsRowShown="0">
  <autoFilter ref="A1:R99" xr:uid="{FE4996AB-A708-4799-8FB3-67342E2ADFA9}"/>
  <tableColumns count="18">
    <tableColumn id="1" xr3:uid="{E93A87AB-6947-4ADB-A4A9-46358DA7F862}" uniqueName="1" name="UID" queryTableFieldId="1" dataDxfId="31"/>
    <tableColumn id="2" xr3:uid="{BA47FC0A-4539-4347-8F64-2016E045C96A}" uniqueName="2" name="Description" queryTableFieldId="2" dataDxfId="30"/>
    <tableColumn id="3" xr3:uid="{B018150C-C9BD-4412-91F3-E788A0221F94}" uniqueName="3" name="Total SF" queryTableFieldId="3"/>
    <tableColumn id="4" xr3:uid="{B06CB7AC-533A-4D90-B905-BC062E3F1980}" uniqueName="4" name="Block Type" queryTableFieldId="4"/>
    <tableColumn id="5" xr3:uid="{0B087A5C-BC5B-4D88-88B5-446A5AB0E338}" uniqueName="5" name="Total" queryTableFieldId="5"/>
    <tableColumn id="6" xr3:uid="{34145B80-C0C1-4C51-A975-44617AE62884}" uniqueName="6" name="4" queryTableFieldId="6"/>
    <tableColumn id="7" xr3:uid="{4A919436-F6A9-46B4-A030-5E59F11D23B3}" uniqueName="7" name="8" queryTableFieldId="7"/>
    <tableColumn id="8" xr3:uid="{96920967-22BC-49B2-9270-69CFB306C308}" uniqueName="8" name="12" queryTableFieldId="8"/>
    <tableColumn id="9" xr3:uid="{7B0BC42C-75F6-42C2-90DD-9A048C9C6E5A}" uniqueName="9" name="16" queryTableFieldId="9"/>
    <tableColumn id="10" xr3:uid="{30A00EA6-1B40-4940-883A-AFB8613CA0FA}" uniqueName="10" name="20" queryTableFieldId="10"/>
    <tableColumn id="11" xr3:uid="{1056BCAC-37C4-4813-BBDF-10B38AB712A6}" uniqueName="11" name="24" queryTableFieldId="11"/>
    <tableColumn id="12" xr3:uid="{B7A0515F-4079-4B53-8D51-9EE2B169706F}" uniqueName="12" name="28" queryTableFieldId="12"/>
    <tableColumn id="13" xr3:uid="{B1D7A302-5D88-4FE8-82A0-C6B423300F83}" uniqueName="13" name="Topped Out" queryTableFieldId="13"/>
    <tableColumn id="14" xr3:uid="{F630F3B5-66B9-4A1E-9A06-52F52D6FCC56}" uniqueName="14" name="Completed Total" queryTableFieldId="14"/>
    <tableColumn id="15" xr3:uid="{AA5FDEF3-D6D5-434D-8951-3CDE011B979A}" uniqueName="15" name="BB Complete" queryTableFieldId="15"/>
    <tableColumn id="16" xr3:uid="{A474DCF6-53CA-462B-875F-14EE5F9BC4C5}" uniqueName="16" name="BB 25 Percent" queryTableFieldId="16"/>
    <tableColumn id="17" xr3:uid="{9FA1DC75-81FC-4704-94E5-328E14958E19}" uniqueName="17" name="BB 50 Percent" queryTableFieldId="17"/>
    <tableColumn id="18" xr3:uid="{4EC57F61-F5D0-41FA-9413-569100836081}" uniqueName="18" name="BB 75 Percent" queryTableField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63C178-2F53-4F31-9413-787E03F34CD8}" name="Input_Template" displayName="Input_Template" ref="X8:AF14" totalsRowShown="0" headerRowDxfId="29">
  <autoFilter ref="X8:AF14" xr:uid="{16FC5D41-4319-44BF-91E9-D7B7655106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7AF09ACE-4FED-4560-A040-B95C992B6863}" name="Name 1" dataDxfId="28" dataCellStyle="Input"/>
    <tableColumn id="2" xr3:uid="{498B4F4D-675D-4DD7-9D82-9EB31250D6D5}" name="Name 2" dataCellStyle="Input"/>
    <tableColumn id="3" xr3:uid="{0288AD8A-4CF7-4A2B-99B3-AE7EF70354EC}" name="Description" dataDxfId="27">
      <calculatedColumnFormula>INDEX([1]!UIP_Main[#Data], MATCH(Input_Template[[#This Row],[Name 1]],[1]!UIP_Main[UID],0), MATCH(INDIRECT("Input_"&amp;$R$2&amp;"[[#Headers],[Description]]"), [1]!UIP_Main[#Headers], 0))</calculatedColumnFormula>
    </tableColumn>
    <tableColumn id="9" xr3:uid="{BD3ED87E-E02D-4ADA-843A-961CC8930D0D}" name="SD" dataCellStyle="Input"/>
    <tableColumn id="4" xr3:uid="{B584EA96-38D3-46DA-8174-C0CEA393DFB2}" name="Start Date" dataDxfId="26" dataCellStyle="Input"/>
    <tableColumn id="5" xr3:uid="{7118FEE9-F494-487A-801B-2AA726B6FFC1}" name="Finish Date" dataDxfId="25" dataCellStyle="Input"/>
    <tableColumn id="6" xr3:uid="{B6959521-DB5F-43A3-87AC-531264378323}" name="Total" dataDxfId="24">
      <calculatedColumnFormula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calculatedColumnFormula>
    </tableColumn>
    <tableColumn id="7" xr3:uid="{D2DD0102-F385-4C11-AEA0-64EDA87F311F}" name="Completed Total" dataDxfId="23">
      <calculatedColumnFormula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calculatedColumnFormula>
    </tableColumn>
    <tableColumn id="8" xr3:uid="{F9DFB767-3D36-43B9-BA94-E49BCE70DBB7}" name="Percent Complete" dataCellStyle="Percent">
      <calculatedColumnFormula>IF(OR(ISBLANK(Input_Template[[#This Row],[Completed Total]]),ISBLANK(Input_Template[[#This Row],[Total]])),"",Input_Template[[#This Row],[Completed Total]]/Input_Template[[#This Row],[Total]])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476F86-DFB7-4869-9D38-3867E07EEB37}" name="Main_Template" displayName="Main_Template" ref="Q9:V22" totalsRowShown="0" headerRowDxfId="22">
  <autoFilter ref="Q9:V22" xr:uid="{80DC284F-3D34-499E-A610-DC2478BB2E9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EFF8C36E-E49C-4A7A-8979-1545CE6217FE}" name="Date" dataDxfId="21">
      <calculatedColumnFormula>IF(Q9 = "Date", $R$4, Q9+7)</calculatedColumnFormula>
    </tableColumn>
    <tableColumn id="2" xr3:uid="{1EA73EF9-2B64-471D-B7DE-030A9A7DDA94}" name="Weekly Plan"/>
    <tableColumn id="3" xr3:uid="{2181A9B1-A1E2-4DC0-86B5-FF460A7F098B}" name="Weekly Actual"/>
    <tableColumn id="4" xr3:uid="{BDEA9EC1-2051-4B11-BB3B-7E1606E146E5}" name="Accumulated Plan" dataDxfId="20">
      <calculatedColumnFormula>SUM($R$10:R10)</calculatedColumnFormula>
    </tableColumn>
    <tableColumn id="5" xr3:uid="{5C79CEA8-DC0A-4C98-84FE-BA46E2D9A7B1}" name="Accumulated Actual" dataDxfId="19">
      <calculatedColumnFormula>IF(S10="",NA(),SUM($S$10:S10))</calculatedColumnFormula>
    </tableColumn>
    <tableColumn id="6" xr3:uid="{342EF1ED-FA53-42D3-B77E-DC75D70AA6E2}" name="Primary Areas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29D2E6-59B9-4EF8-91BA-B027579FD75B}" name="Index_Table" displayName="Index_Table" ref="B11:J78" totalsRowShown="0" headerRowDxfId="18" dataDxfId="17" headerRowBorderDxfId="15" tableBorderDxfId="16">
  <autoFilter ref="B11:J78" xr:uid="{3851B18D-AD15-4149-A2C3-35ACED1FBA2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FFEC3945-09ED-42BF-82A1-BE10C1857163}" name="Phase" dataDxfId="14"/>
    <tableColumn id="2" xr3:uid="{1AF8119A-29D2-4393-9C60-35B33DC0B496}" name="Reported" dataDxfId="13"/>
    <tableColumn id="3" xr3:uid="{D8133BBA-CEF1-4567-A91B-CB2187946AF8}" name="Phase Description" dataDxfId="12"/>
    <tableColumn id="4" xr3:uid="{0478C302-B9C8-4C1C-834F-7CB55CC31F3C}" name="Trade ID" dataDxfId="11">
      <calculatedColumnFormula>HYPERLINK("#0000!A1", "0000")</calculatedColumnFormula>
    </tableColumn>
    <tableColumn id="5" xr3:uid="{022D199A-3249-4FF7-B9E8-ADE800077A00}" name="Trade" dataDxfId="10"/>
    <tableColumn id="6" xr3:uid="{01574D3B-1083-4D91-830F-D5068D5D368A}" name="Sub Contractor" dataDxfId="9"/>
    <tableColumn id="7" xr3:uid="{B18A2BD4-3826-421D-9A91-4E0AC2D56719}" name="Plan %" dataDxfId="8">
      <calculatedColumnFormula>IF($E12="","",INDIRECT("'"&amp;$E12&amp;"'!N$5"))</calculatedColumnFormula>
    </tableColumn>
    <tableColumn id="8" xr3:uid="{B4467ED7-AA1E-4C95-B675-4C7C13E3CB4C}" name="Actual %" dataDxfId="7">
      <calculatedColumnFormula>IF($E12="","", INDIRECT("'"&amp;$E12&amp;"'!O$5"))</calculatedColumnFormula>
    </tableColumn>
    <tableColumn id="9" xr3:uid="{A64C9655-C41D-43A0-B994-C0D1FEE8C695}" name="Completion Date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475F7-F61F-4AFE-A522-30A14A8A5786}">
  <sheetPr codeName="Sheet4"/>
  <dimension ref="A1:R99"/>
  <sheetViews>
    <sheetView showGridLines="0" workbookViewId="0">
      <selection activeCell="T16" sqref="T16"/>
    </sheetView>
  </sheetViews>
  <sheetFormatPr defaultRowHeight="14.4" x14ac:dyDescent="0.55000000000000004"/>
  <cols>
    <col min="1" max="1" width="6.15625" bestFit="1" customWidth="1"/>
    <col min="2" max="2" width="24.89453125" bestFit="1" customWidth="1"/>
    <col min="3" max="3" width="9.62890625" bestFit="1" customWidth="1"/>
    <col min="4" max="4" width="12" bestFit="1" customWidth="1"/>
    <col min="5" max="5" width="7.3671875" bestFit="1" customWidth="1"/>
    <col min="6" max="7" width="4.1015625" bestFit="1" customWidth="1"/>
    <col min="8" max="12" width="5.1015625" bestFit="1" customWidth="1"/>
    <col min="13" max="13" width="13.1015625" bestFit="1" customWidth="1"/>
    <col min="14" max="14" width="17.1015625" bestFit="1" customWidth="1"/>
    <col min="15" max="15" width="13.7890625" bestFit="1" customWidth="1"/>
    <col min="16" max="18" width="14.62890625" bestFit="1" customWidth="1"/>
  </cols>
  <sheetData>
    <row r="1" spans="1:18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55000000000000004">
      <c r="A2" t="s">
        <v>18</v>
      </c>
      <c r="B2" t="s">
        <v>19</v>
      </c>
    </row>
    <row r="3" spans="1:18" x14ac:dyDescent="0.55000000000000004">
      <c r="A3" t="s">
        <v>20</v>
      </c>
      <c r="B3" t="s">
        <v>19</v>
      </c>
    </row>
    <row r="4" spans="1:18" x14ac:dyDescent="0.55000000000000004">
      <c r="A4" t="s">
        <v>21</v>
      </c>
      <c r="B4" t="s">
        <v>22</v>
      </c>
      <c r="E4">
        <v>6318</v>
      </c>
      <c r="N4">
        <v>5398</v>
      </c>
      <c r="O4">
        <v>4532</v>
      </c>
      <c r="Q4">
        <v>1731</v>
      </c>
    </row>
    <row r="5" spans="1:18" x14ac:dyDescent="0.55000000000000004">
      <c r="A5" t="s">
        <v>23</v>
      </c>
      <c r="B5" t="s">
        <v>24</v>
      </c>
      <c r="E5">
        <v>1597</v>
      </c>
      <c r="N5">
        <v>0</v>
      </c>
      <c r="O5">
        <v>0</v>
      </c>
      <c r="Q5">
        <v>0</v>
      </c>
    </row>
    <row r="6" spans="1:18" x14ac:dyDescent="0.55000000000000004">
      <c r="A6" t="s">
        <v>25</v>
      </c>
      <c r="B6" t="s">
        <v>26</v>
      </c>
      <c r="E6">
        <v>2981</v>
      </c>
      <c r="N6">
        <v>778</v>
      </c>
      <c r="O6">
        <v>0</v>
      </c>
      <c r="Q6">
        <v>1556</v>
      </c>
    </row>
    <row r="7" spans="1:18" x14ac:dyDescent="0.55000000000000004">
      <c r="A7" t="s">
        <v>27</v>
      </c>
      <c r="B7" t="s">
        <v>28</v>
      </c>
      <c r="E7">
        <v>8466</v>
      </c>
      <c r="N7">
        <v>3799</v>
      </c>
      <c r="O7">
        <v>0</v>
      </c>
      <c r="Q7">
        <v>7598</v>
      </c>
    </row>
    <row r="8" spans="1:18" x14ac:dyDescent="0.55000000000000004">
      <c r="A8" t="s">
        <v>29</v>
      </c>
      <c r="B8" t="s">
        <v>30</v>
      </c>
      <c r="E8">
        <v>12814</v>
      </c>
      <c r="N8">
        <v>0</v>
      </c>
      <c r="O8">
        <v>0</v>
      </c>
      <c r="Q8">
        <v>0</v>
      </c>
    </row>
    <row r="9" spans="1:18" x14ac:dyDescent="0.55000000000000004">
      <c r="A9" t="s">
        <v>31</v>
      </c>
      <c r="B9" t="s">
        <v>32</v>
      </c>
      <c r="E9">
        <v>1466</v>
      </c>
      <c r="N9">
        <v>712</v>
      </c>
      <c r="O9">
        <v>150</v>
      </c>
      <c r="Q9">
        <v>1123</v>
      </c>
    </row>
    <row r="10" spans="1:18" x14ac:dyDescent="0.55000000000000004">
      <c r="A10" t="s">
        <v>33</v>
      </c>
      <c r="B10" t="s">
        <v>34</v>
      </c>
      <c r="E10">
        <v>5212</v>
      </c>
      <c r="N10">
        <v>3069</v>
      </c>
      <c r="O10">
        <v>2557</v>
      </c>
      <c r="Q10">
        <v>1024</v>
      </c>
    </row>
    <row r="11" spans="1:18" x14ac:dyDescent="0.55000000000000004">
      <c r="A11" t="s">
        <v>35</v>
      </c>
      <c r="B11" t="s">
        <v>36</v>
      </c>
      <c r="E11">
        <v>2446</v>
      </c>
      <c r="N11">
        <v>1572</v>
      </c>
      <c r="O11">
        <v>1548</v>
      </c>
      <c r="Q11">
        <v>48</v>
      </c>
    </row>
    <row r="12" spans="1:18" x14ac:dyDescent="0.55000000000000004">
      <c r="A12" t="s">
        <v>37</v>
      </c>
      <c r="B12" t="s">
        <v>38</v>
      </c>
      <c r="E12">
        <v>10365</v>
      </c>
      <c r="N12">
        <v>7564</v>
      </c>
      <c r="O12">
        <v>6549</v>
      </c>
      <c r="Q12">
        <v>2030</v>
      </c>
    </row>
    <row r="13" spans="1:18" x14ac:dyDescent="0.55000000000000004">
      <c r="A13" t="s">
        <v>39</v>
      </c>
      <c r="B13" t="s">
        <v>40</v>
      </c>
      <c r="E13">
        <v>2682</v>
      </c>
      <c r="N13">
        <v>2246</v>
      </c>
      <c r="O13">
        <v>2143</v>
      </c>
      <c r="Q13">
        <v>206</v>
      </c>
    </row>
    <row r="14" spans="1:18" x14ac:dyDescent="0.55000000000000004">
      <c r="A14" t="s">
        <v>41</v>
      </c>
      <c r="B14" t="s">
        <v>42</v>
      </c>
      <c r="E14">
        <v>7150</v>
      </c>
      <c r="N14">
        <v>6134</v>
      </c>
      <c r="O14">
        <v>5834</v>
      </c>
      <c r="Q14">
        <v>601</v>
      </c>
    </row>
    <row r="15" spans="1:18" x14ac:dyDescent="0.55000000000000004">
      <c r="A15" t="s">
        <v>43</v>
      </c>
      <c r="B15" t="s">
        <v>44</v>
      </c>
      <c r="E15">
        <v>958</v>
      </c>
      <c r="N15">
        <v>0</v>
      </c>
      <c r="O15">
        <v>0</v>
      </c>
      <c r="Q15">
        <v>0</v>
      </c>
    </row>
    <row r="16" spans="1:18" x14ac:dyDescent="0.55000000000000004">
      <c r="A16" t="s">
        <v>45</v>
      </c>
      <c r="B16" t="s">
        <v>46</v>
      </c>
      <c r="E16">
        <v>3249</v>
      </c>
      <c r="N16">
        <v>3249</v>
      </c>
      <c r="O16">
        <v>3249</v>
      </c>
      <c r="P16">
        <v>0</v>
      </c>
      <c r="Q16">
        <v>0</v>
      </c>
      <c r="R16">
        <v>0</v>
      </c>
    </row>
    <row r="17" spans="1:17" x14ac:dyDescent="0.55000000000000004">
      <c r="A17" t="s">
        <v>47</v>
      </c>
      <c r="B17" t="s">
        <v>48</v>
      </c>
      <c r="E17">
        <v>770</v>
      </c>
      <c r="N17">
        <v>0</v>
      </c>
      <c r="O17">
        <v>0</v>
      </c>
    </row>
    <row r="18" spans="1:17" x14ac:dyDescent="0.55000000000000004">
      <c r="A18" t="s">
        <v>49</v>
      </c>
      <c r="B18" t="s">
        <v>50</v>
      </c>
      <c r="E18">
        <v>3938</v>
      </c>
      <c r="N18">
        <v>0</v>
      </c>
      <c r="O18">
        <v>0</v>
      </c>
    </row>
    <row r="19" spans="1:17" x14ac:dyDescent="0.55000000000000004">
      <c r="A19" t="s">
        <v>51</v>
      </c>
      <c r="B19" t="s">
        <v>52</v>
      </c>
      <c r="E19">
        <v>8924</v>
      </c>
      <c r="N19">
        <v>0</v>
      </c>
      <c r="O19">
        <v>0</v>
      </c>
    </row>
    <row r="20" spans="1:17" x14ac:dyDescent="0.55000000000000004">
      <c r="A20" t="s">
        <v>53</v>
      </c>
      <c r="B20" t="s">
        <v>54</v>
      </c>
      <c r="N20">
        <v>0</v>
      </c>
    </row>
    <row r="21" spans="1:17" x14ac:dyDescent="0.55000000000000004">
      <c r="A21" t="s">
        <v>55</v>
      </c>
      <c r="B21" t="s">
        <v>56</v>
      </c>
      <c r="N21">
        <v>0</v>
      </c>
    </row>
    <row r="22" spans="1:17" x14ac:dyDescent="0.55000000000000004">
      <c r="A22" t="s">
        <v>57</v>
      </c>
      <c r="B22" t="s">
        <v>58</v>
      </c>
      <c r="N22">
        <v>0</v>
      </c>
    </row>
    <row r="23" spans="1:17" x14ac:dyDescent="0.55000000000000004">
      <c r="A23" t="s">
        <v>59</v>
      </c>
      <c r="B23" t="s">
        <v>60</v>
      </c>
      <c r="E23">
        <v>1028</v>
      </c>
      <c r="N23">
        <v>1028</v>
      </c>
      <c r="O23">
        <v>1028</v>
      </c>
    </row>
    <row r="24" spans="1:17" x14ac:dyDescent="0.55000000000000004">
      <c r="A24" t="s">
        <v>61</v>
      </c>
      <c r="B24" t="s">
        <v>62</v>
      </c>
      <c r="E24">
        <v>8729</v>
      </c>
      <c r="N24">
        <v>4898</v>
      </c>
      <c r="O24">
        <v>4898</v>
      </c>
    </row>
    <row r="25" spans="1:17" x14ac:dyDescent="0.55000000000000004">
      <c r="A25" t="s">
        <v>63</v>
      </c>
      <c r="B25" t="s">
        <v>64</v>
      </c>
      <c r="E25">
        <v>444</v>
      </c>
      <c r="N25">
        <v>444</v>
      </c>
      <c r="O25">
        <v>444</v>
      </c>
    </row>
    <row r="26" spans="1:17" x14ac:dyDescent="0.55000000000000004">
      <c r="A26" t="s">
        <v>65</v>
      </c>
      <c r="B26" t="s">
        <v>66</v>
      </c>
      <c r="E26">
        <v>316</v>
      </c>
      <c r="N26">
        <v>0</v>
      </c>
      <c r="O26">
        <v>0</v>
      </c>
    </row>
    <row r="27" spans="1:17" x14ac:dyDescent="0.55000000000000004">
      <c r="A27" t="s">
        <v>67</v>
      </c>
      <c r="B27" t="s">
        <v>68</v>
      </c>
      <c r="N27">
        <v>0</v>
      </c>
    </row>
    <row r="28" spans="1:17" x14ac:dyDescent="0.55000000000000004">
      <c r="A28" t="s">
        <v>69</v>
      </c>
      <c r="B28" t="s">
        <v>70</v>
      </c>
      <c r="E28">
        <v>11125</v>
      </c>
      <c r="N28">
        <v>9597</v>
      </c>
      <c r="O28">
        <v>9166</v>
      </c>
      <c r="Q28">
        <v>861</v>
      </c>
    </row>
    <row r="29" spans="1:17" x14ac:dyDescent="0.55000000000000004">
      <c r="A29" t="s">
        <v>71</v>
      </c>
      <c r="B29" t="s">
        <v>72</v>
      </c>
      <c r="E29">
        <v>26069</v>
      </c>
      <c r="N29">
        <v>2589</v>
      </c>
      <c r="O29">
        <v>2371</v>
      </c>
      <c r="Q29">
        <v>437</v>
      </c>
    </row>
    <row r="30" spans="1:17" x14ac:dyDescent="0.55000000000000004">
      <c r="A30" t="s">
        <v>73</v>
      </c>
      <c r="B30" t="s">
        <v>74</v>
      </c>
      <c r="E30">
        <v>22837</v>
      </c>
      <c r="N30">
        <v>14971</v>
      </c>
      <c r="O30">
        <v>14013</v>
      </c>
      <c r="Q30">
        <v>1916</v>
      </c>
    </row>
    <row r="31" spans="1:17" x14ac:dyDescent="0.55000000000000004">
      <c r="A31" t="s">
        <v>75</v>
      </c>
      <c r="B31" t="s">
        <v>76</v>
      </c>
      <c r="E31">
        <v>6761</v>
      </c>
      <c r="N31">
        <v>0</v>
      </c>
      <c r="O31">
        <v>0</v>
      </c>
      <c r="Q31">
        <v>0</v>
      </c>
    </row>
    <row r="32" spans="1:17" x14ac:dyDescent="0.55000000000000004">
      <c r="A32" t="s">
        <v>77</v>
      </c>
      <c r="B32" t="s">
        <v>78</v>
      </c>
      <c r="E32">
        <v>3872</v>
      </c>
      <c r="N32">
        <v>0</v>
      </c>
      <c r="O32">
        <v>0</v>
      </c>
      <c r="Q32">
        <v>0</v>
      </c>
    </row>
    <row r="33" spans="1:18" x14ac:dyDescent="0.55000000000000004">
      <c r="A33" t="s">
        <v>79</v>
      </c>
      <c r="B33" t="s">
        <v>80</v>
      </c>
      <c r="E33">
        <v>15753</v>
      </c>
      <c r="N33">
        <v>14340</v>
      </c>
      <c r="O33">
        <v>14250</v>
      </c>
      <c r="Q33">
        <v>180</v>
      </c>
    </row>
    <row r="34" spans="1:18" x14ac:dyDescent="0.55000000000000004">
      <c r="A34" t="s">
        <v>81</v>
      </c>
      <c r="B34" t="s">
        <v>82</v>
      </c>
      <c r="E34">
        <v>80189</v>
      </c>
      <c r="N34">
        <v>64073</v>
      </c>
      <c r="O34">
        <v>51866</v>
      </c>
      <c r="Q34">
        <v>24414</v>
      </c>
    </row>
    <row r="35" spans="1:18" x14ac:dyDescent="0.55000000000000004">
      <c r="A35" t="s">
        <v>83</v>
      </c>
      <c r="B35" t="s">
        <v>84</v>
      </c>
      <c r="E35">
        <v>88525</v>
      </c>
      <c r="N35">
        <v>85608</v>
      </c>
      <c r="O35">
        <v>84522</v>
      </c>
      <c r="Q35">
        <v>2172</v>
      </c>
    </row>
    <row r="36" spans="1:18" x14ac:dyDescent="0.55000000000000004">
      <c r="A36" t="s">
        <v>85</v>
      </c>
      <c r="B36" t="s">
        <v>86</v>
      </c>
      <c r="E36">
        <v>201615</v>
      </c>
      <c r="N36">
        <v>192895</v>
      </c>
      <c r="O36">
        <v>187823</v>
      </c>
      <c r="Q36">
        <v>10145</v>
      </c>
    </row>
    <row r="37" spans="1:18" x14ac:dyDescent="0.55000000000000004">
      <c r="A37" t="s">
        <v>87</v>
      </c>
      <c r="B37" t="s">
        <v>88</v>
      </c>
      <c r="E37">
        <v>78190</v>
      </c>
      <c r="N37">
        <v>76721</v>
      </c>
      <c r="O37">
        <v>76266</v>
      </c>
      <c r="Q37">
        <v>910</v>
      </c>
    </row>
    <row r="38" spans="1:18" x14ac:dyDescent="0.55000000000000004">
      <c r="A38" t="s">
        <v>89</v>
      </c>
      <c r="B38" t="s">
        <v>90</v>
      </c>
      <c r="E38">
        <v>146298</v>
      </c>
      <c r="N38">
        <v>144109</v>
      </c>
      <c r="O38">
        <v>143865</v>
      </c>
      <c r="Q38">
        <v>489</v>
      </c>
    </row>
    <row r="39" spans="1:18" x14ac:dyDescent="0.55000000000000004">
      <c r="A39" t="s">
        <v>91</v>
      </c>
      <c r="B39" t="s">
        <v>92</v>
      </c>
      <c r="E39">
        <v>34137</v>
      </c>
      <c r="N39">
        <v>31674</v>
      </c>
      <c r="O39">
        <v>30989</v>
      </c>
      <c r="Q39">
        <v>1370</v>
      </c>
    </row>
    <row r="40" spans="1:18" x14ac:dyDescent="0.55000000000000004">
      <c r="A40" t="s">
        <v>93</v>
      </c>
      <c r="B40" t="s">
        <v>94</v>
      </c>
      <c r="E40">
        <v>3929</v>
      </c>
      <c r="N40">
        <v>3929</v>
      </c>
      <c r="O40">
        <v>3929</v>
      </c>
      <c r="P40">
        <v>0</v>
      </c>
      <c r="Q40">
        <v>0</v>
      </c>
      <c r="R40">
        <v>0</v>
      </c>
    </row>
    <row r="41" spans="1:18" x14ac:dyDescent="0.55000000000000004">
      <c r="A41" t="s">
        <v>95</v>
      </c>
      <c r="B41" t="s">
        <v>96</v>
      </c>
      <c r="E41">
        <v>1454</v>
      </c>
      <c r="N41">
        <v>0</v>
      </c>
      <c r="O41">
        <v>0</v>
      </c>
    </row>
    <row r="42" spans="1:18" x14ac:dyDescent="0.55000000000000004">
      <c r="A42" t="s">
        <v>97</v>
      </c>
      <c r="B42" t="s">
        <v>98</v>
      </c>
      <c r="E42">
        <v>5011</v>
      </c>
      <c r="N42">
        <v>0</v>
      </c>
      <c r="O42">
        <v>0</v>
      </c>
    </row>
    <row r="43" spans="1:18" x14ac:dyDescent="0.55000000000000004">
      <c r="A43" t="s">
        <v>99</v>
      </c>
      <c r="B43" t="s">
        <v>100</v>
      </c>
      <c r="E43">
        <v>5446</v>
      </c>
      <c r="N43">
        <v>0</v>
      </c>
      <c r="O43">
        <v>0</v>
      </c>
    </row>
    <row r="44" spans="1:18" x14ac:dyDescent="0.55000000000000004">
      <c r="A44" t="s">
        <v>101</v>
      </c>
      <c r="B44" t="s">
        <v>102</v>
      </c>
      <c r="E44">
        <v>459</v>
      </c>
      <c r="N44">
        <v>0</v>
      </c>
      <c r="O44">
        <v>0</v>
      </c>
    </row>
    <row r="45" spans="1:18" x14ac:dyDescent="0.55000000000000004">
      <c r="A45" t="s">
        <v>103</v>
      </c>
      <c r="B45" t="s">
        <v>104</v>
      </c>
      <c r="E45">
        <v>2217</v>
      </c>
      <c r="N45">
        <v>907</v>
      </c>
      <c r="O45">
        <v>907</v>
      </c>
      <c r="R45">
        <v>0</v>
      </c>
    </row>
    <row r="46" spans="1:18" x14ac:dyDescent="0.55000000000000004">
      <c r="A46" t="s">
        <v>105</v>
      </c>
      <c r="B46" t="s">
        <v>106</v>
      </c>
      <c r="E46">
        <v>5975</v>
      </c>
      <c r="N46">
        <v>440</v>
      </c>
      <c r="O46">
        <v>0</v>
      </c>
      <c r="R46">
        <v>587</v>
      </c>
    </row>
    <row r="47" spans="1:18" x14ac:dyDescent="0.55000000000000004">
      <c r="A47" t="s">
        <v>107</v>
      </c>
      <c r="B47" t="s">
        <v>108</v>
      </c>
      <c r="E47">
        <v>9911</v>
      </c>
      <c r="N47">
        <v>8670</v>
      </c>
      <c r="O47">
        <v>7006</v>
      </c>
      <c r="P47">
        <v>0</v>
      </c>
      <c r="Q47">
        <v>0</v>
      </c>
      <c r="R47">
        <v>2219</v>
      </c>
    </row>
    <row r="48" spans="1:18" x14ac:dyDescent="0.55000000000000004">
      <c r="A48" t="s">
        <v>109</v>
      </c>
      <c r="B48" t="s">
        <v>110</v>
      </c>
      <c r="E48">
        <v>25669</v>
      </c>
      <c r="N48">
        <v>19369</v>
      </c>
      <c r="O48">
        <v>14126</v>
      </c>
      <c r="P48">
        <v>0</v>
      </c>
      <c r="Q48">
        <v>1129</v>
      </c>
      <c r="R48">
        <v>6238</v>
      </c>
    </row>
    <row r="49" spans="1:18" x14ac:dyDescent="0.55000000000000004">
      <c r="A49" t="s">
        <v>111</v>
      </c>
      <c r="B49" t="s">
        <v>112</v>
      </c>
      <c r="E49">
        <v>8403</v>
      </c>
      <c r="N49">
        <v>7665</v>
      </c>
      <c r="O49">
        <v>5876</v>
      </c>
      <c r="P49">
        <v>0</v>
      </c>
      <c r="Q49">
        <v>0</v>
      </c>
      <c r="R49">
        <v>2386</v>
      </c>
    </row>
    <row r="50" spans="1:18" x14ac:dyDescent="0.55000000000000004">
      <c r="A50" t="s">
        <v>113</v>
      </c>
      <c r="B50" t="s">
        <v>114</v>
      </c>
      <c r="E50">
        <v>16872</v>
      </c>
      <c r="N50">
        <v>14690</v>
      </c>
      <c r="O50">
        <v>12432</v>
      </c>
      <c r="P50">
        <v>25</v>
      </c>
      <c r="Q50">
        <v>935</v>
      </c>
      <c r="R50">
        <v>2379</v>
      </c>
    </row>
    <row r="51" spans="1:18" x14ac:dyDescent="0.55000000000000004">
      <c r="A51" t="s">
        <v>115</v>
      </c>
      <c r="B51" t="s">
        <v>116</v>
      </c>
      <c r="E51">
        <v>713</v>
      </c>
      <c r="N51">
        <v>713</v>
      </c>
      <c r="O51">
        <v>713</v>
      </c>
      <c r="P51">
        <v>0</v>
      </c>
      <c r="Q51">
        <v>0</v>
      </c>
      <c r="R51">
        <v>0</v>
      </c>
    </row>
    <row r="52" spans="1:18" x14ac:dyDescent="0.55000000000000004">
      <c r="A52" t="s">
        <v>117</v>
      </c>
      <c r="B52" t="s">
        <v>118</v>
      </c>
      <c r="E52">
        <v>0</v>
      </c>
      <c r="N52">
        <v>0</v>
      </c>
      <c r="O52">
        <v>0</v>
      </c>
    </row>
    <row r="53" spans="1:18" x14ac:dyDescent="0.55000000000000004">
      <c r="A53" t="s">
        <v>119</v>
      </c>
      <c r="B53" t="s">
        <v>120</v>
      </c>
      <c r="E53">
        <v>0</v>
      </c>
      <c r="N53">
        <v>0</v>
      </c>
      <c r="O53">
        <v>0</v>
      </c>
    </row>
    <row r="54" spans="1:18" x14ac:dyDescent="0.55000000000000004">
      <c r="A54" t="s">
        <v>121</v>
      </c>
      <c r="B54" t="s">
        <v>122</v>
      </c>
      <c r="E54">
        <v>0</v>
      </c>
      <c r="N54">
        <v>0</v>
      </c>
      <c r="O54">
        <v>0</v>
      </c>
    </row>
    <row r="55" spans="1:18" x14ac:dyDescent="0.55000000000000004">
      <c r="A55" t="s">
        <v>123</v>
      </c>
      <c r="B55" t="s">
        <v>124</v>
      </c>
      <c r="E55">
        <v>0</v>
      </c>
      <c r="N55">
        <v>0</v>
      </c>
      <c r="O55">
        <v>0</v>
      </c>
    </row>
    <row r="56" spans="1:18" x14ac:dyDescent="0.55000000000000004">
      <c r="A56" t="s">
        <v>125</v>
      </c>
      <c r="B56" t="s">
        <v>126</v>
      </c>
      <c r="E56">
        <v>0</v>
      </c>
      <c r="N56">
        <v>0</v>
      </c>
      <c r="O56">
        <v>0</v>
      </c>
    </row>
    <row r="57" spans="1:18" x14ac:dyDescent="0.55000000000000004">
      <c r="A57" t="s">
        <v>127</v>
      </c>
      <c r="B57" t="s">
        <v>128</v>
      </c>
      <c r="E57">
        <v>0</v>
      </c>
      <c r="N57">
        <v>0</v>
      </c>
      <c r="O57">
        <v>0</v>
      </c>
    </row>
    <row r="58" spans="1:18" x14ac:dyDescent="0.55000000000000004">
      <c r="A58" t="s">
        <v>129</v>
      </c>
      <c r="B58" t="s">
        <v>130</v>
      </c>
      <c r="E58">
        <v>0</v>
      </c>
      <c r="N58">
        <v>0</v>
      </c>
      <c r="O58">
        <v>0</v>
      </c>
    </row>
    <row r="59" spans="1:18" x14ac:dyDescent="0.55000000000000004">
      <c r="A59" t="s">
        <v>131</v>
      </c>
      <c r="B59" t="s">
        <v>132</v>
      </c>
      <c r="E59">
        <v>0</v>
      </c>
      <c r="N59">
        <v>0</v>
      </c>
      <c r="O59">
        <v>0</v>
      </c>
    </row>
    <row r="60" spans="1:18" x14ac:dyDescent="0.55000000000000004">
      <c r="A60" t="s">
        <v>133</v>
      </c>
      <c r="B60" t="s">
        <v>134</v>
      </c>
      <c r="E60">
        <v>0</v>
      </c>
      <c r="N60">
        <v>0</v>
      </c>
      <c r="O60">
        <v>0</v>
      </c>
    </row>
    <row r="61" spans="1:18" x14ac:dyDescent="0.55000000000000004">
      <c r="A61" t="s">
        <v>135</v>
      </c>
      <c r="B61" t="s">
        <v>136</v>
      </c>
      <c r="E61">
        <v>0</v>
      </c>
      <c r="N61">
        <v>0</v>
      </c>
      <c r="O61">
        <v>0</v>
      </c>
    </row>
    <row r="62" spans="1:18" x14ac:dyDescent="0.55000000000000004">
      <c r="A62" t="s">
        <v>137</v>
      </c>
      <c r="B62" t="s">
        <v>138</v>
      </c>
      <c r="E62">
        <v>0</v>
      </c>
      <c r="N62">
        <v>0</v>
      </c>
      <c r="O62">
        <v>0</v>
      </c>
    </row>
    <row r="63" spans="1:18" x14ac:dyDescent="0.55000000000000004">
      <c r="A63" t="s">
        <v>139</v>
      </c>
      <c r="B63" t="s">
        <v>140</v>
      </c>
      <c r="E63">
        <v>0</v>
      </c>
      <c r="N63">
        <v>0</v>
      </c>
      <c r="O63">
        <v>0</v>
      </c>
    </row>
    <row r="64" spans="1:18" x14ac:dyDescent="0.55000000000000004">
      <c r="A64" t="s">
        <v>141</v>
      </c>
      <c r="B64" t="s">
        <v>142</v>
      </c>
      <c r="E64">
        <v>0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5" x14ac:dyDescent="0.55000000000000004">
      <c r="A65" t="s">
        <v>143</v>
      </c>
      <c r="B65" t="s">
        <v>144</v>
      </c>
      <c r="E65">
        <v>0</v>
      </c>
      <c r="N65">
        <v>0</v>
      </c>
      <c r="O65">
        <v>0</v>
      </c>
    </row>
    <row r="66" spans="1:15" x14ac:dyDescent="0.55000000000000004">
      <c r="A66" t="s">
        <v>145</v>
      </c>
      <c r="B66" t="s">
        <v>146</v>
      </c>
      <c r="E66">
        <v>0</v>
      </c>
      <c r="N66">
        <v>0</v>
      </c>
      <c r="O66">
        <v>0</v>
      </c>
    </row>
    <row r="67" spans="1:15" x14ac:dyDescent="0.55000000000000004">
      <c r="A67" t="s">
        <v>147</v>
      </c>
      <c r="B67" t="s">
        <v>148</v>
      </c>
      <c r="E67">
        <v>0</v>
      </c>
      <c r="N67">
        <v>0</v>
      </c>
      <c r="O67">
        <v>0</v>
      </c>
    </row>
    <row r="68" spans="1:15" x14ac:dyDescent="0.55000000000000004">
      <c r="A68" t="s">
        <v>149</v>
      </c>
      <c r="B68" t="s">
        <v>150</v>
      </c>
      <c r="E68">
        <v>0</v>
      </c>
      <c r="N68">
        <v>0</v>
      </c>
      <c r="O68">
        <v>0</v>
      </c>
    </row>
    <row r="69" spans="1:15" x14ac:dyDescent="0.55000000000000004">
      <c r="A69" t="s">
        <v>151</v>
      </c>
      <c r="B69" t="s">
        <v>152</v>
      </c>
      <c r="E69">
        <v>0</v>
      </c>
      <c r="N69">
        <v>0</v>
      </c>
      <c r="O69">
        <v>0</v>
      </c>
    </row>
    <row r="70" spans="1:15" x14ac:dyDescent="0.55000000000000004">
      <c r="A70" t="s">
        <v>153</v>
      </c>
      <c r="B70" t="s">
        <v>154</v>
      </c>
      <c r="E70">
        <v>0</v>
      </c>
      <c r="N70">
        <v>0</v>
      </c>
      <c r="O70">
        <v>0</v>
      </c>
    </row>
    <row r="71" spans="1:15" x14ac:dyDescent="0.55000000000000004">
      <c r="A71" t="s">
        <v>155</v>
      </c>
      <c r="B71" t="s">
        <v>156</v>
      </c>
      <c r="E71">
        <v>0</v>
      </c>
      <c r="N71">
        <v>0</v>
      </c>
      <c r="O71">
        <v>0</v>
      </c>
    </row>
    <row r="72" spans="1:15" x14ac:dyDescent="0.55000000000000004">
      <c r="A72" t="s">
        <v>157</v>
      </c>
      <c r="B72" t="s">
        <v>158</v>
      </c>
      <c r="E72">
        <v>12262</v>
      </c>
      <c r="N72">
        <v>6713</v>
      </c>
      <c r="O72">
        <v>6713</v>
      </c>
    </row>
    <row r="73" spans="1:15" x14ac:dyDescent="0.55000000000000004">
      <c r="A73" t="s">
        <v>159</v>
      </c>
      <c r="B73" t="s">
        <v>160</v>
      </c>
      <c r="E73">
        <v>0</v>
      </c>
      <c r="N73">
        <v>0</v>
      </c>
      <c r="O73">
        <v>0</v>
      </c>
    </row>
    <row r="74" spans="1:15" x14ac:dyDescent="0.55000000000000004">
      <c r="A74" t="s">
        <v>161</v>
      </c>
      <c r="B74" t="s">
        <v>162</v>
      </c>
      <c r="E74">
        <v>0</v>
      </c>
      <c r="N74">
        <v>0</v>
      </c>
      <c r="O74">
        <v>0</v>
      </c>
    </row>
    <row r="75" spans="1:15" x14ac:dyDescent="0.55000000000000004">
      <c r="A75" t="s">
        <v>163</v>
      </c>
      <c r="B75" t="s">
        <v>164</v>
      </c>
      <c r="E75">
        <v>0</v>
      </c>
      <c r="N75">
        <v>0</v>
      </c>
      <c r="O75">
        <v>0</v>
      </c>
    </row>
    <row r="76" spans="1:15" x14ac:dyDescent="0.55000000000000004">
      <c r="A76" t="s">
        <v>165</v>
      </c>
      <c r="B76" t="s">
        <v>70</v>
      </c>
      <c r="N76">
        <v>0</v>
      </c>
    </row>
    <row r="77" spans="1:15" x14ac:dyDescent="0.55000000000000004">
      <c r="A77" t="s">
        <v>166</v>
      </c>
      <c r="B77" t="s">
        <v>72</v>
      </c>
      <c r="N77">
        <v>0</v>
      </c>
    </row>
    <row r="78" spans="1:15" x14ac:dyDescent="0.55000000000000004">
      <c r="A78" t="s">
        <v>167</v>
      </c>
      <c r="B78" t="s">
        <v>74</v>
      </c>
      <c r="N78">
        <v>0</v>
      </c>
    </row>
    <row r="79" spans="1:15" x14ac:dyDescent="0.55000000000000004">
      <c r="A79" t="s">
        <v>168</v>
      </c>
      <c r="B79" t="s">
        <v>76</v>
      </c>
      <c r="N79">
        <v>0</v>
      </c>
    </row>
    <row r="80" spans="1:15" x14ac:dyDescent="0.55000000000000004">
      <c r="A80" t="s">
        <v>169</v>
      </c>
      <c r="B80" t="s">
        <v>78</v>
      </c>
      <c r="N80">
        <v>0</v>
      </c>
    </row>
    <row r="81" spans="1:18" x14ac:dyDescent="0.55000000000000004">
      <c r="A81" t="s">
        <v>170</v>
      </c>
      <c r="B81" t="s">
        <v>80</v>
      </c>
      <c r="N81">
        <v>0</v>
      </c>
    </row>
    <row r="82" spans="1:18" x14ac:dyDescent="0.55000000000000004">
      <c r="A82" t="s">
        <v>171</v>
      </c>
      <c r="B82" t="s">
        <v>82</v>
      </c>
      <c r="N82">
        <v>0</v>
      </c>
    </row>
    <row r="83" spans="1:18" x14ac:dyDescent="0.55000000000000004">
      <c r="A83" t="s">
        <v>172</v>
      </c>
      <c r="B83" t="s">
        <v>84</v>
      </c>
      <c r="N83">
        <v>0</v>
      </c>
    </row>
    <row r="84" spans="1:18" x14ac:dyDescent="0.55000000000000004">
      <c r="A84" t="s">
        <v>173</v>
      </c>
      <c r="B84" t="s">
        <v>86</v>
      </c>
      <c r="N84">
        <v>0</v>
      </c>
    </row>
    <row r="85" spans="1:18" x14ac:dyDescent="0.55000000000000004">
      <c r="A85" t="s">
        <v>174</v>
      </c>
      <c r="B85" t="s">
        <v>88</v>
      </c>
      <c r="N85">
        <v>0</v>
      </c>
    </row>
    <row r="86" spans="1:18" x14ac:dyDescent="0.55000000000000004">
      <c r="A86" t="s">
        <v>175</v>
      </c>
      <c r="B86" t="s">
        <v>90</v>
      </c>
      <c r="N86">
        <v>0</v>
      </c>
    </row>
    <row r="87" spans="1:18" x14ac:dyDescent="0.55000000000000004">
      <c r="A87" t="s">
        <v>176</v>
      </c>
      <c r="B87" t="s">
        <v>92</v>
      </c>
      <c r="N87">
        <v>0</v>
      </c>
    </row>
    <row r="88" spans="1:18" x14ac:dyDescent="0.55000000000000004">
      <c r="A88" t="s">
        <v>177</v>
      </c>
      <c r="B88" t="s">
        <v>178</v>
      </c>
      <c r="E88">
        <v>15</v>
      </c>
      <c r="N88">
        <v>0</v>
      </c>
      <c r="O88">
        <v>0</v>
      </c>
      <c r="Q88">
        <v>0</v>
      </c>
    </row>
    <row r="89" spans="1:18" x14ac:dyDescent="0.55000000000000004">
      <c r="A89" t="s">
        <v>179</v>
      </c>
      <c r="B89" t="s">
        <v>180</v>
      </c>
      <c r="E89">
        <v>105</v>
      </c>
      <c r="N89">
        <v>0</v>
      </c>
      <c r="O89">
        <v>0</v>
      </c>
      <c r="Q89">
        <v>0</v>
      </c>
    </row>
    <row r="90" spans="1:18" x14ac:dyDescent="0.55000000000000004">
      <c r="A90" t="s">
        <v>181</v>
      </c>
      <c r="B90" t="s">
        <v>182</v>
      </c>
      <c r="E90">
        <v>56</v>
      </c>
      <c r="N90">
        <v>0</v>
      </c>
      <c r="O90">
        <v>0</v>
      </c>
      <c r="Q90">
        <v>0</v>
      </c>
    </row>
    <row r="91" spans="1:18" x14ac:dyDescent="0.55000000000000004">
      <c r="A91" t="s">
        <v>183</v>
      </c>
      <c r="B91" t="s">
        <v>184</v>
      </c>
      <c r="E91">
        <v>27</v>
      </c>
      <c r="N91">
        <v>0</v>
      </c>
      <c r="O91">
        <v>0</v>
      </c>
      <c r="Q91">
        <v>0</v>
      </c>
    </row>
    <row r="92" spans="1:18" x14ac:dyDescent="0.55000000000000004">
      <c r="A92" t="s">
        <v>185</v>
      </c>
      <c r="B92" t="s">
        <v>186</v>
      </c>
      <c r="E92">
        <v>19</v>
      </c>
      <c r="N92">
        <v>0</v>
      </c>
      <c r="O92">
        <v>0</v>
      </c>
      <c r="Q92">
        <v>0</v>
      </c>
    </row>
    <row r="93" spans="1:18" x14ac:dyDescent="0.55000000000000004">
      <c r="A93" t="s">
        <v>187</v>
      </c>
      <c r="B93" t="s">
        <v>188</v>
      </c>
      <c r="E93">
        <v>15</v>
      </c>
      <c r="N93">
        <v>0</v>
      </c>
      <c r="O93">
        <v>0</v>
      </c>
      <c r="Q93">
        <v>0</v>
      </c>
    </row>
    <row r="94" spans="1:18" x14ac:dyDescent="0.55000000000000004">
      <c r="A94" t="s">
        <v>189</v>
      </c>
      <c r="B94" t="s">
        <v>190</v>
      </c>
      <c r="E94">
        <v>148</v>
      </c>
      <c r="N94">
        <v>0</v>
      </c>
      <c r="O94">
        <v>0</v>
      </c>
      <c r="Q94">
        <v>0</v>
      </c>
      <c r="R94">
        <v>0</v>
      </c>
    </row>
    <row r="95" spans="1:18" x14ac:dyDescent="0.55000000000000004">
      <c r="A95" t="s">
        <v>191</v>
      </c>
      <c r="B95" t="s">
        <v>192</v>
      </c>
      <c r="E95">
        <v>321</v>
      </c>
      <c r="N95">
        <v>300</v>
      </c>
      <c r="O95">
        <v>268</v>
      </c>
      <c r="Q95">
        <v>0</v>
      </c>
      <c r="R95">
        <v>43</v>
      </c>
    </row>
    <row r="96" spans="1:18" x14ac:dyDescent="0.55000000000000004">
      <c r="A96" t="s">
        <v>193</v>
      </c>
      <c r="B96" t="s">
        <v>194</v>
      </c>
      <c r="E96">
        <v>500</v>
      </c>
      <c r="N96">
        <v>380</v>
      </c>
      <c r="O96">
        <v>380</v>
      </c>
      <c r="Q96">
        <v>0</v>
      </c>
      <c r="R96">
        <v>0</v>
      </c>
    </row>
    <row r="97" spans="1:18" x14ac:dyDescent="0.55000000000000004">
      <c r="A97" t="s">
        <v>195</v>
      </c>
      <c r="B97" t="s">
        <v>196</v>
      </c>
      <c r="E97">
        <v>212</v>
      </c>
      <c r="N97">
        <v>206</v>
      </c>
      <c r="O97">
        <v>206</v>
      </c>
      <c r="Q97">
        <v>0</v>
      </c>
      <c r="R97">
        <v>0</v>
      </c>
    </row>
    <row r="98" spans="1:18" x14ac:dyDescent="0.55000000000000004">
      <c r="A98" t="s">
        <v>197</v>
      </c>
      <c r="B98" t="s">
        <v>198</v>
      </c>
      <c r="E98">
        <v>268</v>
      </c>
      <c r="N98">
        <v>248</v>
      </c>
      <c r="O98">
        <v>245</v>
      </c>
      <c r="Q98">
        <v>6</v>
      </c>
      <c r="R98">
        <v>0</v>
      </c>
    </row>
    <row r="99" spans="1:18" x14ac:dyDescent="0.55000000000000004">
      <c r="A99" t="s">
        <v>199</v>
      </c>
      <c r="B99" t="s">
        <v>200</v>
      </c>
      <c r="E99">
        <v>81</v>
      </c>
      <c r="N99">
        <v>71</v>
      </c>
      <c r="O99">
        <v>48</v>
      </c>
      <c r="Q99">
        <v>0</v>
      </c>
      <c r="R99">
        <v>31</v>
      </c>
    </row>
  </sheetData>
  <dataConsolidate/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0E33C-5E29-4613-B9EE-13794C3191CF}">
  <sheetPr codeName="Sheet3">
    <pageSetUpPr fitToPage="1"/>
  </sheetPr>
  <dimension ref="B1:AF80"/>
  <sheetViews>
    <sheetView showGridLines="0" zoomScale="85" zoomScaleNormal="85" workbookViewId="0">
      <selection activeCell="C5" sqref="C5:I5"/>
    </sheetView>
  </sheetViews>
  <sheetFormatPr defaultColWidth="9.15625" defaultRowHeight="14.4" x14ac:dyDescent="0.55000000000000004"/>
  <cols>
    <col min="1" max="1" width="2.7890625" customWidth="1"/>
    <col min="2" max="2" width="18.26171875" customWidth="1"/>
    <col min="3" max="3" width="9.15625" customWidth="1"/>
    <col min="9" max="9" width="6.26171875" customWidth="1"/>
    <col min="12" max="13" width="9.47265625" customWidth="1"/>
    <col min="14" max="15" width="10.734375" customWidth="1"/>
    <col min="16" max="16" width="2.7890625" customWidth="1"/>
    <col min="17" max="17" width="14.7890625" customWidth="1"/>
    <col min="18" max="18" width="16" customWidth="1"/>
    <col min="19" max="19" width="19.26171875" customWidth="1"/>
    <col min="20" max="20" width="20.26171875" customWidth="1"/>
    <col min="21" max="21" width="22.15625" customWidth="1"/>
    <col min="22" max="22" width="16.734375" customWidth="1"/>
    <col min="23" max="23" width="2.7890625" customWidth="1"/>
    <col min="24" max="25" width="7.734375" bestFit="1" customWidth="1"/>
    <col min="26" max="26" width="28.15625" bestFit="1" customWidth="1"/>
    <col min="27" max="27" width="5.15625" customWidth="1"/>
    <col min="28" max="28" width="14.47265625" bestFit="1" customWidth="1"/>
    <col min="29" max="29" width="15.15625" customWidth="1"/>
    <col min="30" max="31" width="10.5234375" customWidth="1"/>
    <col min="32" max="32" width="8.26171875" customWidth="1"/>
  </cols>
  <sheetData>
    <row r="1" spans="2:32" ht="15" customHeight="1" thickBot="1" x14ac:dyDescent="0.6">
      <c r="X1" s="35" t="s">
        <v>201</v>
      </c>
      <c r="Y1" s="35"/>
      <c r="Z1" s="36" t="s">
        <v>201</v>
      </c>
    </row>
    <row r="2" spans="2:32" ht="15" customHeight="1" x14ac:dyDescent="0.55000000000000004">
      <c r="B2" s="37" t="str">
        <f>_xlfn.CONCAT("PROGRESS REPORT WEEK OF ", TEXT(R3,"mm/dd/yyyy"))</f>
        <v>PROGRESS REPORT WEEK OF 02/25/2019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9"/>
      <c r="Q2" s="1" t="s">
        <v>202</v>
      </c>
      <c r="R2" s="2" t="str">
        <f ca="1">MID(CELL("filename",B1),FIND("]",CELL("filename",B1))+1,LEN(CELL("filename",B1))-FIND("]",CELL("filename",B1)))</f>
        <v>Template</v>
      </c>
      <c r="S2" s="1" t="s">
        <v>203</v>
      </c>
      <c r="T2" s="43"/>
      <c r="U2" s="43"/>
      <c r="V2" s="43"/>
      <c r="X2" s="35"/>
      <c r="Y2" s="35"/>
      <c r="Z2" s="36"/>
    </row>
    <row r="3" spans="2:32" ht="15" customHeight="1" x14ac:dyDescent="0.55000000000000004">
      <c r="B3" s="40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2"/>
      <c r="Q3" s="1" t="s">
        <v>204</v>
      </c>
      <c r="R3" s="3">
        <f>[1]Index!$D$8</f>
        <v>43521</v>
      </c>
      <c r="S3" s="1" t="s">
        <v>205</v>
      </c>
      <c r="T3" s="43"/>
      <c r="U3" s="43"/>
      <c r="V3" s="43"/>
      <c r="X3" s="35"/>
      <c r="Y3" s="35"/>
      <c r="Z3" s="36"/>
    </row>
    <row r="4" spans="2:32" ht="15.3" x14ac:dyDescent="0.55000000000000004">
      <c r="B4" s="4" t="s">
        <v>206</v>
      </c>
      <c r="C4" s="44" t="str">
        <f>Index!$D$6</f>
        <v>Herriman High 2</v>
      </c>
      <c r="D4" s="44"/>
      <c r="E4" s="44"/>
      <c r="F4" s="44"/>
      <c r="G4" s="44"/>
      <c r="H4" s="44"/>
      <c r="I4" s="44"/>
      <c r="J4" s="45" t="s">
        <v>1</v>
      </c>
      <c r="K4" s="45"/>
      <c r="L4" s="45"/>
      <c r="M4" s="45"/>
      <c r="N4" s="5" t="s">
        <v>207</v>
      </c>
      <c r="O4" s="6" t="s">
        <v>208</v>
      </c>
      <c r="Q4" s="1" t="s">
        <v>209</v>
      </c>
      <c r="R4" s="3" t="e">
        <f ca="1">MIN(INDIRECT("Input_"&amp;$R$2&amp;"[Start Date]")) - WEEKDAY(MIN(INDIRECT("Input_"&amp;$R$2&amp;"[Start Date]")) - 2)</f>
        <v>#NUM!</v>
      </c>
      <c r="S4" s="1" t="s">
        <v>210</v>
      </c>
      <c r="T4" s="2">
        <f ca="1">SUM(INDIRECT("Main_"&amp;$R$2&amp;"[Weekly Plan]"))</f>
        <v>1300</v>
      </c>
      <c r="U4" s="1" t="s">
        <v>211</v>
      </c>
      <c r="V4" s="2" t="e">
        <f ca="1">SUM(INDIRECT("Input_"&amp;$R$2&amp;"[Total]"))</f>
        <v>#N/A</v>
      </c>
      <c r="X4" s="35"/>
      <c r="Y4" s="35"/>
      <c r="Z4" s="36"/>
    </row>
    <row r="5" spans="2:32" ht="15.3" x14ac:dyDescent="0.55000000000000004">
      <c r="B5" s="4" t="s">
        <v>212</v>
      </c>
      <c r="C5" s="44" t="str">
        <f>Index!$D$7</f>
        <v>W1027</v>
      </c>
      <c r="D5" s="44"/>
      <c r="E5" s="44"/>
      <c r="F5" s="44"/>
      <c r="G5" s="44"/>
      <c r="H5" s="44"/>
      <c r="I5" s="44"/>
      <c r="J5" s="34" t="s">
        <v>213</v>
      </c>
      <c r="K5" s="34"/>
      <c r="L5" s="34"/>
      <c r="M5" s="34"/>
      <c r="N5" s="7">
        <f ca="1">IF(ISERROR(N7/N6), 0, N7/N6)</f>
        <v>0.53846153846153844</v>
      </c>
      <c r="O5" s="8">
        <f ca="1">IF(ISERROR(O7/O6), 0, O7/O6)</f>
        <v>0</v>
      </c>
      <c r="Q5" s="1" t="s">
        <v>214</v>
      </c>
      <c r="R5" s="3">
        <f ca="1">MAX(INDIRECT("Input_"&amp;$R$2&amp;"[Finish Date]"))</f>
        <v>0</v>
      </c>
      <c r="S5" s="1" t="s">
        <v>215</v>
      </c>
      <c r="T5" s="2">
        <f ca="1">SUM(INDIRECT("Main_"&amp;$R$2&amp;"[Weekly Actual]"))</f>
        <v>0</v>
      </c>
      <c r="U5" s="1" t="s">
        <v>216</v>
      </c>
      <c r="V5" s="2" t="e">
        <f ca="1">SUM(INDIRECT("Input_"&amp;$R$2&amp;"[Completed Total]"))</f>
        <v>#N/A</v>
      </c>
      <c r="X5" s="46"/>
      <c r="Y5" s="46"/>
      <c r="Z5" s="36"/>
    </row>
    <row r="6" spans="2:32" ht="15.3" x14ac:dyDescent="0.55000000000000004">
      <c r="B6" s="4" t="s">
        <v>217</v>
      </c>
      <c r="C6" s="44" t="str">
        <f>Index!G78</f>
        <v>XYZ Corp</v>
      </c>
      <c r="D6" s="44"/>
      <c r="E6" s="44"/>
      <c r="F6" s="44"/>
      <c r="G6" s="44"/>
      <c r="H6" s="44"/>
      <c r="I6" s="44"/>
      <c r="J6" s="34" t="str">
        <f>_xlfn.CONCAT("Overall Totals (", IF(ISBLANK($R$6),"",$R$6), ")")</f>
        <v>Overall Totals ()</v>
      </c>
      <c r="K6" s="34"/>
      <c r="L6" s="34"/>
      <c r="M6" s="34"/>
      <c r="N6" s="9">
        <f ca="1">$T$4</f>
        <v>1300</v>
      </c>
      <c r="O6" s="10" t="e">
        <f ca="1">$V$4</f>
        <v>#N/A</v>
      </c>
      <c r="Q6" s="1" t="s">
        <v>218</v>
      </c>
      <c r="R6" s="11"/>
      <c r="S6" s="1" t="s">
        <v>219</v>
      </c>
      <c r="T6" s="12">
        <f ca="1">1-$N$5</f>
        <v>0.46153846153846156</v>
      </c>
      <c r="U6" s="1" t="s">
        <v>220</v>
      </c>
      <c r="V6" s="12">
        <f ca="1">1-$O$5</f>
        <v>1</v>
      </c>
      <c r="X6" s="46"/>
      <c r="Y6" s="46"/>
      <c r="Z6" s="36"/>
    </row>
    <row r="7" spans="2:32" ht="15.3" x14ac:dyDescent="0.55000000000000004">
      <c r="B7" s="4" t="s">
        <v>221</v>
      </c>
      <c r="C7" s="44" t="str">
        <f>Index!F78</f>
        <v>Sample Trade</v>
      </c>
      <c r="D7" s="44"/>
      <c r="E7" s="44"/>
      <c r="F7" s="44"/>
      <c r="G7" s="44"/>
      <c r="H7" s="44"/>
      <c r="I7" s="44"/>
      <c r="J7" s="34" t="str">
        <f>_xlfn.CONCAT("Overall Completed Totals (", IF(ISBLANK($R$6),"",$R$6), ")")</f>
        <v>Overall Completed Totals ()</v>
      </c>
      <c r="K7" s="34"/>
      <c r="L7" s="34"/>
      <c r="M7" s="34"/>
      <c r="N7" s="9">
        <f>$T$16</f>
        <v>700</v>
      </c>
      <c r="O7" s="10" t="e">
        <f>$U$16</f>
        <v>#N/A</v>
      </c>
      <c r="Q7" s="1" t="s">
        <v>222</v>
      </c>
      <c r="R7" s="11" t="e">
        <f>CountSaturdays</f>
        <v>#NAME?</v>
      </c>
      <c r="S7" s="13" t="s">
        <v>223</v>
      </c>
      <c r="T7" s="14" t="e">
        <f>Default_Run_Date</f>
        <v>#NAME?</v>
      </c>
      <c r="V7" s="15"/>
      <c r="X7" s="46"/>
      <c r="Y7" s="46"/>
      <c r="Z7" s="36"/>
    </row>
    <row r="8" spans="2:32" ht="15.3" x14ac:dyDescent="0.55000000000000004">
      <c r="B8" s="16"/>
      <c r="C8" s="17"/>
      <c r="D8" s="17"/>
      <c r="E8" s="17"/>
      <c r="F8" s="17"/>
      <c r="G8" s="17"/>
      <c r="H8" s="17"/>
      <c r="I8" s="17"/>
      <c r="J8" s="34" t="str">
        <f>_xlfn.CONCAT("This Week's Production (", IF(ISBLANK($R$6),"",$R$6), ")")</f>
        <v>This Week's Production ()</v>
      </c>
      <c r="K8" s="34"/>
      <c r="L8" s="34"/>
      <c r="M8" s="34"/>
      <c r="N8" s="9">
        <f>$R$16</f>
        <v>100</v>
      </c>
      <c r="O8" s="10">
        <f>$S$16</f>
        <v>0</v>
      </c>
      <c r="X8" t="s">
        <v>224</v>
      </c>
      <c r="Y8" t="s">
        <v>225</v>
      </c>
      <c r="Z8" t="s">
        <v>1</v>
      </c>
      <c r="AA8" t="s">
        <v>226</v>
      </c>
      <c r="AB8" s="18" t="s">
        <v>227</v>
      </c>
      <c r="AC8" s="18" t="s">
        <v>228</v>
      </c>
      <c r="AD8" t="s">
        <v>4</v>
      </c>
      <c r="AE8" t="s">
        <v>13</v>
      </c>
      <c r="AF8" t="s">
        <v>229</v>
      </c>
    </row>
    <row r="9" spans="2:32" ht="15.3" x14ac:dyDescent="0.55000000000000004">
      <c r="B9" s="16"/>
      <c r="C9" s="17"/>
      <c r="D9" s="17"/>
      <c r="E9" s="17"/>
      <c r="F9" s="17"/>
      <c r="G9" s="17"/>
      <c r="H9" s="17"/>
      <c r="I9" s="17"/>
      <c r="J9" s="34" t="str">
        <f>_xlfn.CONCAT("Weekly Average (", IF(ISBLANK($R$6),"",$R$6), ")")</f>
        <v>Weekly Average ()</v>
      </c>
      <c r="K9" s="34"/>
      <c r="L9" s="34"/>
      <c r="M9" s="34"/>
      <c r="N9" s="19">
        <f ca="1">AVERAGE(INDIRECT("Main_"&amp;$R$2&amp;"[Weekly Plan]"))</f>
        <v>100</v>
      </c>
      <c r="O9" s="20" t="e">
        <f ca="1">AVERAGE(INDIRECT("Main_"&amp;$R$2&amp;"[Weekly Actual]"))</f>
        <v>#DIV/0!</v>
      </c>
      <c r="Q9" t="s">
        <v>230</v>
      </c>
      <c r="R9" t="s">
        <v>231</v>
      </c>
      <c r="S9" t="s">
        <v>232</v>
      </c>
      <c r="T9" t="s">
        <v>233</v>
      </c>
      <c r="U9" t="s">
        <v>234</v>
      </c>
      <c r="V9" t="s">
        <v>235</v>
      </c>
      <c r="X9" s="21"/>
      <c r="Y9" s="21"/>
      <c r="Z9" t="e">
        <f ca="1">INDEX([1]!UIP_Main[#Data], MATCH(Input_Template[[#This Row],[Name 1]],[1]!UIP_Main[UID],0), MATCH(INDIRECT("Input_"&amp;$R$2&amp;"[[#Headers],[Description]]"), [1]!UIP_Main[#Headers], 0))</f>
        <v>#N/A</v>
      </c>
      <c r="AA9" s="21"/>
      <c r="AB9" s="14"/>
      <c r="AC9" s="14"/>
      <c r="AD9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9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9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0" spans="2:32" ht="15.3" x14ac:dyDescent="0.55000000000000004">
      <c r="B10" s="16"/>
      <c r="C10" s="17"/>
      <c r="D10" s="17"/>
      <c r="E10" s="17"/>
      <c r="F10" s="17"/>
      <c r="G10" s="17"/>
      <c r="H10" s="17"/>
      <c r="I10" s="17"/>
      <c r="J10" s="34" t="str">
        <f>_xlfn.CONCAT("Average Past 4 Weeks (", IF(ISBLANK($R$6),"",$R$6), ")")</f>
        <v>Average Past 4 Weeks ()</v>
      </c>
      <c r="K10" s="34"/>
      <c r="L10" s="34"/>
      <c r="M10" s="34"/>
      <c r="N10" s="19" t="e">
        <f ca="1">(VLOOKUP($R$3,INDIRECT("Main_"&amp;$R$2), 2)+VLOOKUP($R$3-7,INDIRECT("Main_"&amp;$R$2), 2)+VLOOKUP($R$3-14,INDIRECT("Main_"&amp;$R$2), 2)+VLOOKUP($R$3-21,INDIRECT("Main_"&amp;$R$2), 2))/4</f>
        <v>#N/A</v>
      </c>
      <c r="O10" s="20" t="e">
        <f ca="1">(VLOOKUP($R$3,INDIRECT("Main_"&amp;$R$2), 3)+VLOOKUP($R$3-7,INDIRECT("Main_"&amp;$R$2), 3)+VLOOKUP($R$3-14,INDIRECT("Main_"&amp;$R$2), 3)+VLOOKUP($R$3-21,INDIRECT("Main_"&amp;$R$2), 3))/4</f>
        <v>#N/A</v>
      </c>
      <c r="Q10" s="23" t="e">
        <f t="shared" ref="Q10:Q22" ca="1" si="0">IF(Q9 = "Date", $R$4, Q9+7)</f>
        <v>#NUM!</v>
      </c>
      <c r="R10">
        <v>100</v>
      </c>
      <c r="T10">
        <f>SUM($R$10:R10)</f>
        <v>100</v>
      </c>
      <c r="U10" t="e">
        <f>IF(S10="",NA(),SUM($S$10:S10))</f>
        <v>#N/A</v>
      </c>
      <c r="V10" t="s">
        <v>236</v>
      </c>
      <c r="X10" s="21"/>
      <c r="Y10" s="21"/>
      <c r="Z10" t="e">
        <f ca="1">INDEX([1]!UIP_Main[#Data], MATCH(Input_Template[[#This Row],[Name 1]],[1]!UIP_Main[UID],0), MATCH(INDIRECT("Input_"&amp;$R$2&amp;"[[#Headers],[Description]]"), [1]!UIP_Main[#Headers], 0))</f>
        <v>#N/A</v>
      </c>
      <c r="AA10" s="21"/>
      <c r="AB10" s="14"/>
      <c r="AC10" s="14"/>
      <c r="AD10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0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0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1" spans="2:32" ht="15.3" x14ac:dyDescent="0.55000000000000004">
      <c r="B11" s="16"/>
      <c r="C11" s="17"/>
      <c r="D11" s="17"/>
      <c r="E11" s="17"/>
      <c r="F11" s="17"/>
      <c r="G11" s="17"/>
      <c r="H11" s="17"/>
      <c r="I11" s="17"/>
      <c r="J11" s="34" t="str">
        <f>_xlfn.CONCAT("On Schedule Average (", IF(ISBLANK($R$6),"",$R$6), ")")</f>
        <v>On Schedule Average ()</v>
      </c>
      <c r="K11" s="34"/>
      <c r="L11" s="34"/>
      <c r="M11" s="34"/>
      <c r="N11" s="19">
        <f ca="1">AVERAGE(INDIRECT("Main_"&amp;$R$2&amp;"[Weekly Plan]"))</f>
        <v>100</v>
      </c>
      <c r="O11" s="20" t="str">
        <f ca="1">IF(($R$5-$R$3)&gt;0,($T$4-$T$5)/(CEILING(($R$5-$R$3),7)/7),"N/A")</f>
        <v>N/A</v>
      </c>
      <c r="Q11" s="23" t="e">
        <f t="shared" ca="1" si="0"/>
        <v>#NUM!</v>
      </c>
      <c r="R11">
        <v>100</v>
      </c>
      <c r="T11">
        <f>SUM($R$10:R11)</f>
        <v>200</v>
      </c>
      <c r="U11" t="e">
        <f>IF(S11="",NA(),SUM($S$10:S11))</f>
        <v>#N/A</v>
      </c>
      <c r="V11" t="s">
        <v>237</v>
      </c>
      <c r="X11" s="21"/>
      <c r="Y11" s="21"/>
      <c r="Z11" t="e">
        <f ca="1">INDEX([1]!UIP_Main[#Data], MATCH(Input_Template[[#This Row],[Name 1]],[1]!UIP_Main[UID],0), MATCH(INDIRECT("Input_"&amp;$R$2&amp;"[[#Headers],[Description]]"), [1]!UIP_Main[#Headers], 0))</f>
        <v>#N/A</v>
      </c>
      <c r="AA11" s="21"/>
      <c r="AB11" s="14"/>
      <c r="AC11" s="14"/>
      <c r="AD11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1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1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2" spans="2:32" ht="15.3" x14ac:dyDescent="0.55000000000000004">
      <c r="B12" s="16"/>
      <c r="C12" s="17"/>
      <c r="D12" s="17"/>
      <c r="E12" s="17"/>
      <c r="F12" s="17"/>
      <c r="G12" s="17"/>
      <c r="H12" s="17"/>
      <c r="I12" s="17"/>
      <c r="J12" s="51" t="s">
        <v>238</v>
      </c>
      <c r="K12" s="51"/>
      <c r="L12" s="51"/>
      <c r="M12" s="51"/>
      <c r="N12" s="52">
        <f ca="1">$R$5</f>
        <v>0</v>
      </c>
      <c r="O12" s="53"/>
      <c r="Q12" s="23" t="e">
        <f t="shared" ca="1" si="0"/>
        <v>#NUM!</v>
      </c>
      <c r="R12">
        <v>100</v>
      </c>
      <c r="T12">
        <f>SUM($R$10:R12)</f>
        <v>300</v>
      </c>
      <c r="U12" t="e">
        <f>IF(S12="",NA(),SUM($S$10:S12))</f>
        <v>#N/A</v>
      </c>
      <c r="V12" t="s">
        <v>237</v>
      </c>
      <c r="X12" s="21"/>
      <c r="Y12" s="21"/>
      <c r="Z12" t="e">
        <f ca="1">INDEX([1]!UIP_Main[#Data], MATCH(Input_Template[[#This Row],[Name 1]],[1]!UIP_Main[UID],0), MATCH(INDIRECT("Input_"&amp;$R$2&amp;"[[#Headers],[Description]]"), [1]!UIP_Main[#Headers], 0))</f>
        <v>#N/A</v>
      </c>
      <c r="AA12" s="21"/>
      <c r="AB12" s="14"/>
      <c r="AC12" s="14"/>
      <c r="AD12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2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2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3" spans="2:32" ht="15.3" x14ac:dyDescent="0.55000000000000004">
      <c r="B13" s="16"/>
      <c r="C13" s="17"/>
      <c r="D13" s="17"/>
      <c r="E13" s="17"/>
      <c r="F13" s="17"/>
      <c r="G13" s="17"/>
      <c r="H13" s="17"/>
      <c r="I13" s="17"/>
      <c r="J13" s="51" t="s">
        <v>239</v>
      </c>
      <c r="K13" s="51"/>
      <c r="L13" s="51"/>
      <c r="M13" s="51"/>
      <c r="N13" s="52" t="e">
        <f ca="1">$R$3+ROUNDUP(($T$4-$T$5)/($O$10/IF($R$7="NO", 5,6)),0)+(TRUNC(ROUNDUP(($T$4-$T$5)/($O$10/IF($R$7="NO", 5,6)),0)/7)*IF($R$7="NO",2,1))</f>
        <v>#N/A</v>
      </c>
      <c r="O13" s="54"/>
      <c r="Q13" s="23" t="e">
        <f t="shared" ca="1" si="0"/>
        <v>#NUM!</v>
      </c>
      <c r="R13">
        <v>100</v>
      </c>
      <c r="T13">
        <f>SUM($R$10:R13)</f>
        <v>400</v>
      </c>
      <c r="U13" t="e">
        <f>IF(S13="",NA(),SUM($S$10:S13))</f>
        <v>#N/A</v>
      </c>
      <c r="V13" t="s">
        <v>237</v>
      </c>
      <c r="X13" s="21"/>
      <c r="Y13" s="21"/>
      <c r="Z13" t="e">
        <f ca="1">INDEX([1]!UIP_Main[#Data], MATCH(Input_Template[[#This Row],[Name 1]],[1]!UIP_Main[UID],0), MATCH(INDIRECT("Input_"&amp;$R$2&amp;"[[#Headers],[Description]]"), [1]!UIP_Main[#Headers], 0))</f>
        <v>#N/A</v>
      </c>
      <c r="AA13" s="21"/>
      <c r="AB13" s="14"/>
      <c r="AC13" s="14"/>
      <c r="AD13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3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3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4" spans="2:32" ht="15.75" customHeight="1" x14ac:dyDescent="0.55000000000000004">
      <c r="B14" s="16"/>
      <c r="C14" s="17"/>
      <c r="D14" s="17"/>
      <c r="E14" s="17"/>
      <c r="F14" s="17"/>
      <c r="G14" s="17"/>
      <c r="H14" s="17"/>
      <c r="I14" s="17"/>
      <c r="J14" s="24"/>
      <c r="K14" s="24"/>
      <c r="L14" s="47" t="e">
        <f>_xlfn.CONCAT("Values were calculated using the attached takeoff sheets and Westland's project schedule with a run date of ", TEXT($T$7, "mm/dd/yyyy"), ".")</f>
        <v>#NAME?</v>
      </c>
      <c r="M14" s="47"/>
      <c r="N14" s="47"/>
      <c r="O14" s="48"/>
      <c r="Q14" s="23" t="e">
        <f t="shared" ca="1" si="0"/>
        <v>#NUM!</v>
      </c>
      <c r="R14">
        <v>100</v>
      </c>
      <c r="T14">
        <f>SUM($R$10:R14)</f>
        <v>500</v>
      </c>
      <c r="U14" t="e">
        <f>IF(S14="",NA(),SUM($S$10:S14))</f>
        <v>#N/A</v>
      </c>
      <c r="V14" t="s">
        <v>237</v>
      </c>
      <c r="X14" s="21"/>
      <c r="Y14" s="21"/>
      <c r="Z14" t="e">
        <f ca="1">INDEX([1]!UIP_Main[#Data], MATCH(Input_Template[[#This Row],[Name 1]],[1]!UIP_Main[UID],0), MATCH(INDIRECT("Input_"&amp;$R$2&amp;"[[#Headers],[Description]]"), [1]!UIP_Main[#Headers], 0))</f>
        <v>#N/A</v>
      </c>
      <c r="AA14" s="21"/>
      <c r="AB14" s="14"/>
      <c r="AC14" s="14"/>
      <c r="AD14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4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4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5" spans="2:32" ht="16.5" customHeight="1" thickBot="1" x14ac:dyDescent="0.6">
      <c r="B15" s="16"/>
      <c r="C15" s="17"/>
      <c r="D15" s="17"/>
      <c r="E15" s="17"/>
      <c r="F15" s="17"/>
      <c r="G15" s="17"/>
      <c r="H15" s="17"/>
      <c r="I15" s="17"/>
      <c r="J15" s="25"/>
      <c r="K15" s="25"/>
      <c r="L15" s="49"/>
      <c r="M15" s="49"/>
      <c r="N15" s="49"/>
      <c r="O15" s="50"/>
      <c r="Q15" s="23" t="e">
        <f t="shared" ca="1" si="0"/>
        <v>#NUM!</v>
      </c>
      <c r="R15">
        <v>100</v>
      </c>
      <c r="T15">
        <f>SUM($R$10:R15)</f>
        <v>600</v>
      </c>
      <c r="U15" t="e">
        <f>IF(S15="",NA(),SUM($S$10:S15))</f>
        <v>#N/A</v>
      </c>
      <c r="V15" t="s">
        <v>237</v>
      </c>
    </row>
    <row r="16" spans="2:32" ht="15.3" x14ac:dyDescent="0.55000000000000004">
      <c r="B16" s="26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/>
      <c r="Q16" s="23" t="e">
        <f t="shared" ca="1" si="0"/>
        <v>#NUM!</v>
      </c>
      <c r="R16">
        <v>100</v>
      </c>
      <c r="T16">
        <f>SUM($R$10:R16)</f>
        <v>700</v>
      </c>
      <c r="U16" t="e">
        <f>IF(S16="",NA(),SUM($S$10:S16))</f>
        <v>#N/A</v>
      </c>
      <c r="V16" t="s">
        <v>237</v>
      </c>
    </row>
    <row r="17" spans="2:22" ht="15.3" x14ac:dyDescent="0.55000000000000004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29"/>
      <c r="Q17" s="23" t="e">
        <f t="shared" ca="1" si="0"/>
        <v>#NUM!</v>
      </c>
      <c r="R17">
        <v>100</v>
      </c>
      <c r="T17">
        <f>SUM($R$10:R17)</f>
        <v>800</v>
      </c>
      <c r="U17" t="e">
        <f>IF(S17="",NA(),SUM($S$10:S17))</f>
        <v>#N/A</v>
      </c>
      <c r="V17" t="s">
        <v>237</v>
      </c>
    </row>
    <row r="18" spans="2:22" ht="15.3" x14ac:dyDescent="0.55000000000000004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29"/>
      <c r="Q18" s="23" t="e">
        <f t="shared" ca="1" si="0"/>
        <v>#NUM!</v>
      </c>
      <c r="R18">
        <v>100</v>
      </c>
      <c r="T18">
        <f>SUM($R$10:R18)</f>
        <v>900</v>
      </c>
      <c r="U18" t="e">
        <f>IF(S18="",NA(),SUM($S$10:S18))</f>
        <v>#N/A</v>
      </c>
      <c r="V18" t="s">
        <v>237</v>
      </c>
    </row>
    <row r="19" spans="2:22" ht="15.3" x14ac:dyDescent="0.55000000000000004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29"/>
      <c r="Q19" s="23" t="e">
        <f t="shared" ca="1" si="0"/>
        <v>#NUM!</v>
      </c>
      <c r="R19">
        <v>100</v>
      </c>
      <c r="T19">
        <f>SUM($R$10:R19)</f>
        <v>1000</v>
      </c>
      <c r="U19" t="e">
        <f>IF(S19="",NA(),SUM($S$10:S19))</f>
        <v>#N/A</v>
      </c>
      <c r="V19" t="s">
        <v>237</v>
      </c>
    </row>
    <row r="20" spans="2:22" ht="15.3" x14ac:dyDescent="0.55000000000000004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29"/>
      <c r="Q20" s="23" t="e">
        <f t="shared" ca="1" si="0"/>
        <v>#NUM!</v>
      </c>
      <c r="R20">
        <v>100</v>
      </c>
      <c r="T20">
        <f>SUM($R$10:R20)</f>
        <v>1100</v>
      </c>
      <c r="U20" t="e">
        <f>IF(S20="",NA(),SUM($S$10:S20))</f>
        <v>#N/A</v>
      </c>
      <c r="V20" t="s">
        <v>237</v>
      </c>
    </row>
    <row r="21" spans="2:22" ht="15.3" x14ac:dyDescent="0.55000000000000004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29"/>
      <c r="Q21" s="23" t="e">
        <f t="shared" ca="1" si="0"/>
        <v>#NUM!</v>
      </c>
      <c r="R21">
        <v>100</v>
      </c>
      <c r="T21">
        <f>SUM($R$10:R21)</f>
        <v>1200</v>
      </c>
      <c r="U21" t="e">
        <f>IF(S21="",NA(),SUM($S$10:S21))</f>
        <v>#N/A</v>
      </c>
      <c r="V21" t="s">
        <v>237</v>
      </c>
    </row>
    <row r="22" spans="2:22" ht="15.3" x14ac:dyDescent="0.55000000000000004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29"/>
      <c r="Q22" s="23" t="e">
        <f t="shared" ca="1" si="0"/>
        <v>#NUM!</v>
      </c>
      <c r="R22">
        <v>100</v>
      </c>
      <c r="T22">
        <f>SUM($R$10:R22)</f>
        <v>1300</v>
      </c>
      <c r="U22" t="e">
        <f>IF(S22="",NA(),SUM($S$10:S22))</f>
        <v>#N/A</v>
      </c>
      <c r="V22" t="s">
        <v>237</v>
      </c>
    </row>
    <row r="23" spans="2:22" ht="15.3" x14ac:dyDescent="0.55000000000000004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29"/>
      <c r="Q23" s="30"/>
    </row>
    <row r="24" spans="2:22" ht="15.3" x14ac:dyDescent="0.55000000000000004">
      <c r="B24" s="16"/>
      <c r="C24" s="17" t="s">
        <v>240</v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29"/>
      <c r="Q24" s="30"/>
    </row>
    <row r="25" spans="2:22" ht="15.3" x14ac:dyDescent="0.55000000000000004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29"/>
      <c r="Q25" s="30"/>
    </row>
    <row r="26" spans="2:22" ht="15.3" x14ac:dyDescent="0.55000000000000004">
      <c r="B26" s="16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29"/>
      <c r="Q26" s="30"/>
      <c r="U26" s="18"/>
    </row>
    <row r="27" spans="2:22" ht="15.3" x14ac:dyDescent="0.55000000000000004">
      <c r="B27" s="16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29"/>
      <c r="Q27" s="30"/>
    </row>
    <row r="28" spans="2:22" ht="15.3" x14ac:dyDescent="0.55000000000000004"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29"/>
      <c r="Q28" s="30"/>
    </row>
    <row r="29" spans="2:22" ht="15.3" x14ac:dyDescent="0.55000000000000004">
      <c r="B29" s="16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29"/>
      <c r="Q29" s="30"/>
    </row>
    <row r="30" spans="2:22" ht="15.3" x14ac:dyDescent="0.55000000000000004">
      <c r="B30" s="16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29"/>
      <c r="Q30" s="30"/>
    </row>
    <row r="31" spans="2:22" ht="15.3" x14ac:dyDescent="0.55000000000000004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29"/>
      <c r="Q31" s="30"/>
    </row>
    <row r="32" spans="2:22" ht="15.3" x14ac:dyDescent="0.55000000000000004">
      <c r="B32" s="16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29"/>
      <c r="Q32" s="30"/>
    </row>
    <row r="33" spans="2:17" ht="15.3" x14ac:dyDescent="0.55000000000000004">
      <c r="B33" s="16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29"/>
      <c r="Q33" s="30"/>
    </row>
    <row r="34" spans="2:17" ht="15.3" x14ac:dyDescent="0.55000000000000004"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29"/>
      <c r="Q34" s="30"/>
    </row>
    <row r="35" spans="2:17" ht="15.3" x14ac:dyDescent="0.55000000000000004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29"/>
      <c r="Q35" s="30"/>
    </row>
    <row r="36" spans="2:17" ht="15.3" x14ac:dyDescent="0.55000000000000004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29"/>
      <c r="Q36" s="30"/>
    </row>
    <row r="37" spans="2:17" ht="15.3" x14ac:dyDescent="0.55000000000000004">
      <c r="B37" s="16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29"/>
      <c r="Q37" s="30"/>
    </row>
    <row r="38" spans="2:17" ht="15.3" x14ac:dyDescent="0.55000000000000004">
      <c r="B38" s="16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29"/>
      <c r="Q38" s="30"/>
    </row>
    <row r="39" spans="2:17" ht="15.3" x14ac:dyDescent="0.55000000000000004">
      <c r="B39" s="16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29"/>
    </row>
    <row r="40" spans="2:17" ht="15.6" thickBot="1" x14ac:dyDescent="0.6">
      <c r="B40" s="31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3"/>
    </row>
    <row r="41" spans="2:17" ht="15" customHeight="1" x14ac:dyDescent="0.55000000000000004"/>
    <row r="80" ht="21" customHeight="1" x14ac:dyDescent="0.55000000000000004"/>
  </sheetData>
  <mergeCells count="23">
    <mergeCell ref="L14:O15"/>
    <mergeCell ref="J10:M10"/>
    <mergeCell ref="J11:M11"/>
    <mergeCell ref="J12:M12"/>
    <mergeCell ref="N12:O12"/>
    <mergeCell ref="J13:M13"/>
    <mergeCell ref="N13:O13"/>
    <mergeCell ref="J9:M9"/>
    <mergeCell ref="X1:Y4"/>
    <mergeCell ref="Z1:Z7"/>
    <mergeCell ref="B2:O3"/>
    <mergeCell ref="T2:V2"/>
    <mergeCell ref="T3:V3"/>
    <mergeCell ref="C4:I4"/>
    <mergeCell ref="J4:M4"/>
    <mergeCell ref="C5:I5"/>
    <mergeCell ref="J5:M5"/>
    <mergeCell ref="X5:Y7"/>
    <mergeCell ref="C6:I6"/>
    <mergeCell ref="J6:M6"/>
    <mergeCell ref="C7:I7"/>
    <mergeCell ref="J7:M7"/>
    <mergeCell ref="J8:M8"/>
  </mergeCells>
  <conditionalFormatting sqref="T4 V4">
    <cfRule type="expression" dxfId="5" priority="5">
      <formula>$V$4&lt;&gt;$T$4</formula>
    </cfRule>
  </conditionalFormatting>
  <conditionalFormatting sqref="V5 T5">
    <cfRule type="expression" dxfId="4" priority="4">
      <formula>$T$5&lt;&gt;$V$5</formula>
    </cfRule>
  </conditionalFormatting>
  <conditionalFormatting sqref="U10:U22">
    <cfRule type="containsErrors" dxfId="3" priority="3">
      <formula>ISERROR(U10)</formula>
    </cfRule>
  </conditionalFormatting>
  <conditionalFormatting sqref="X1:Y4">
    <cfRule type="expression" dxfId="2" priority="2">
      <formula>$T$4&lt;&gt;$V$4</formula>
    </cfRule>
  </conditionalFormatting>
  <conditionalFormatting sqref="Z1:Z7">
    <cfRule type="expression" dxfId="1" priority="1">
      <formula>$T$5&lt;&gt;$V$5</formula>
    </cfRule>
  </conditionalFormatting>
  <dataValidations count="3">
    <dataValidation type="list" showInputMessage="1" showErrorMessage="1" sqref="R7" xr:uid="{69665B0A-8B3E-4293-9DAE-4E4CF1B4CEBE}">
      <formula1>"YES, NO"</formula1>
    </dataValidation>
    <dataValidation type="textLength" operator="lessThanOrEqual" allowBlank="1" showInputMessage="1" showErrorMessage="1" promptTitle="Max 4 Characters" sqref="AA9:AA14" xr:uid="{137CFDC5-779F-46A1-B7B1-09CC1686EE47}">
      <formula1>4</formula1>
    </dataValidation>
    <dataValidation type="custom" allowBlank="1" showInputMessage="1" showErrorMessage="1" promptTitle="Monday's Only" prompt="Must input the date of a Monday." sqref="R3" xr:uid="{5FCBFEEF-652C-4B73-9853-946CEB8956B2}">
      <formula1>WEEKDAY(R3)=2</formula1>
    </dataValidation>
  </dataValidations>
  <pageMargins left="0.25" right="0.25" top="0.25" bottom="0.25" header="0.3" footer="0.3"/>
  <pageSetup scale="95" orientation="landscape" r:id="rId1"/>
  <drawing r:id="rId2"/>
  <legacy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35648-0986-4A01-82C1-72CCE726D2C3}">
  <sheetPr codeName="Sheet2"/>
  <dimension ref="B2"/>
  <sheetViews>
    <sheetView workbookViewId="0">
      <selection activeCell="E8" sqref="E8"/>
    </sheetView>
  </sheetViews>
  <sheetFormatPr defaultRowHeight="14.4" x14ac:dyDescent="0.55000000000000004"/>
  <cols>
    <col min="1" max="1" width="2.68359375" customWidth="1"/>
    <col min="2" max="2" width="8.83984375" customWidth="1"/>
  </cols>
  <sheetData>
    <row r="2" spans="2:2" x14ac:dyDescent="0.55000000000000004">
      <c r="B2" s="118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ADABE-AD46-49E5-9810-792CAA06DA30}">
  <sheetPr codeName="Sheet1">
    <tabColor theme="4" tint="0.39997558519241921"/>
    <pageSetUpPr fitToPage="1"/>
  </sheetPr>
  <dimension ref="B1:J78"/>
  <sheetViews>
    <sheetView showGridLines="0" tabSelected="1" topLeftCell="A52" zoomScale="70" zoomScaleNormal="70" workbookViewId="0">
      <selection activeCell="E72" sqref="E72"/>
    </sheetView>
  </sheetViews>
  <sheetFormatPr defaultRowHeight="14.4" x14ac:dyDescent="0.55000000000000004"/>
  <cols>
    <col min="1" max="1" width="2.7890625" customWidth="1"/>
    <col min="2" max="2" width="10.734375" customWidth="1"/>
    <col min="3" max="3" width="12.7890625" customWidth="1"/>
    <col min="4" max="4" width="36.5234375" customWidth="1"/>
    <col min="5" max="5" width="10.26171875" customWidth="1"/>
    <col min="6" max="6" width="26.15625" bestFit="1" customWidth="1"/>
    <col min="7" max="7" width="34.15625" customWidth="1"/>
    <col min="8" max="8" width="12" customWidth="1"/>
    <col min="9" max="9" width="13.5234375" customWidth="1"/>
    <col min="10" max="10" width="22" customWidth="1"/>
    <col min="11" max="11" width="3.734375" customWidth="1"/>
  </cols>
  <sheetData>
    <row r="1" spans="2:10" ht="14.7" thickBot="1" x14ac:dyDescent="0.6"/>
    <row r="2" spans="2:10" x14ac:dyDescent="0.55000000000000004">
      <c r="B2" s="55" t="str">
        <f>_xlfn.CONCAT("PROGRESS REPORT WEEK OF ", TEXT(D8,"mm/dd/yyyy"))</f>
        <v>PROGRESS REPORT WEEK OF 02/25/2019</v>
      </c>
      <c r="C2" s="56"/>
      <c r="D2" s="56"/>
      <c r="E2" s="56"/>
      <c r="F2" s="56"/>
      <c r="G2" s="56"/>
      <c r="H2" s="56"/>
      <c r="I2" s="56"/>
      <c r="J2" s="57"/>
    </row>
    <row r="3" spans="2:10" x14ac:dyDescent="0.55000000000000004">
      <c r="B3" s="58"/>
      <c r="C3" s="59"/>
      <c r="D3" s="59"/>
      <c r="E3" s="59"/>
      <c r="F3" s="59"/>
      <c r="G3" s="59"/>
      <c r="H3" s="59"/>
      <c r="I3" s="59"/>
      <c r="J3" s="60"/>
    </row>
    <row r="4" spans="2:10" ht="14.7" thickBot="1" x14ac:dyDescent="0.6">
      <c r="B4" s="61"/>
      <c r="C4" s="62"/>
      <c r="D4" s="62"/>
      <c r="E4" s="62"/>
      <c r="F4" s="62"/>
      <c r="G4" s="62"/>
      <c r="H4" s="62"/>
      <c r="I4" s="62"/>
      <c r="J4" s="63"/>
    </row>
    <row r="5" spans="2:10" ht="15" customHeight="1" x14ac:dyDescent="0.55000000000000004">
      <c r="B5" s="64"/>
      <c r="C5" s="65"/>
      <c r="D5" s="65"/>
      <c r="E5" s="65"/>
      <c r="F5" s="65"/>
      <c r="G5" s="65"/>
      <c r="H5" s="65"/>
      <c r="I5" s="65"/>
      <c r="J5" s="66"/>
    </row>
    <row r="6" spans="2:10" ht="20.25" customHeight="1" x14ac:dyDescent="0.55000000000000004">
      <c r="B6" s="67" t="s">
        <v>241</v>
      </c>
      <c r="C6" s="68"/>
      <c r="D6" s="69" t="s">
        <v>242</v>
      </c>
      <c r="E6" s="69"/>
      <c r="F6" s="69"/>
      <c r="G6" s="70" t="s">
        <v>243</v>
      </c>
      <c r="H6" s="71" t="s">
        <v>244</v>
      </c>
      <c r="I6" s="71"/>
      <c r="J6" s="72"/>
    </row>
    <row r="7" spans="2:10" ht="20.25" customHeight="1" x14ac:dyDescent="0.55000000000000004">
      <c r="B7" s="67" t="s">
        <v>212</v>
      </c>
      <c r="C7" s="68"/>
      <c r="D7" s="69" t="s">
        <v>245</v>
      </c>
      <c r="E7" s="69"/>
      <c r="F7" s="69"/>
      <c r="G7" s="70" t="s">
        <v>246</v>
      </c>
      <c r="H7" s="71" t="s">
        <v>247</v>
      </c>
      <c r="I7" s="71"/>
      <c r="J7" s="72"/>
    </row>
    <row r="8" spans="2:10" ht="20.25" customHeight="1" x14ac:dyDescent="0.55000000000000004">
      <c r="B8" s="67" t="s">
        <v>248</v>
      </c>
      <c r="C8" s="68"/>
      <c r="D8" s="73">
        <v>43521</v>
      </c>
      <c r="E8" s="73"/>
      <c r="F8" s="73"/>
      <c r="G8" s="74" t="s">
        <v>249</v>
      </c>
      <c r="H8" s="71" t="s">
        <v>250</v>
      </c>
      <c r="I8" s="71"/>
      <c r="J8" s="72"/>
    </row>
    <row r="9" spans="2:10" ht="15" customHeight="1" x14ac:dyDescent="0.7">
      <c r="B9" s="75"/>
      <c r="C9" s="76"/>
      <c r="D9" s="76"/>
      <c r="E9" s="77"/>
      <c r="F9" s="77"/>
      <c r="G9" s="77"/>
      <c r="H9" s="78"/>
      <c r="I9" s="78"/>
      <c r="J9" s="79"/>
    </row>
    <row r="10" spans="2:10" ht="15" customHeight="1" x14ac:dyDescent="0.55000000000000004">
      <c r="B10" s="80"/>
      <c r="C10" s="81"/>
      <c r="D10" s="81"/>
      <c r="E10" s="81"/>
      <c r="F10" s="81"/>
      <c r="G10" s="81"/>
      <c r="H10" s="82"/>
      <c r="I10" s="81"/>
      <c r="J10" s="83"/>
    </row>
    <row r="11" spans="2:10" ht="15.6" thickBot="1" x14ac:dyDescent="0.6">
      <c r="B11" s="84" t="s">
        <v>251</v>
      </c>
      <c r="C11" s="85" t="s">
        <v>252</v>
      </c>
      <c r="D11" s="86" t="s">
        <v>253</v>
      </c>
      <c r="E11" s="87" t="s">
        <v>254</v>
      </c>
      <c r="F11" s="88" t="s">
        <v>255</v>
      </c>
      <c r="G11" s="88" t="s">
        <v>256</v>
      </c>
      <c r="H11" s="89" t="s">
        <v>257</v>
      </c>
      <c r="I11" s="90" t="s">
        <v>258</v>
      </c>
      <c r="J11" s="91" t="s">
        <v>259</v>
      </c>
    </row>
    <row r="12" spans="2:10" ht="15.3" x14ac:dyDescent="0.55000000000000004">
      <c r="B12" s="92" t="s">
        <v>260</v>
      </c>
      <c r="C12" s="93"/>
      <c r="D12" s="94" t="s">
        <v>261</v>
      </c>
      <c r="E12" s="95"/>
      <c r="F12" s="96"/>
      <c r="G12" s="96"/>
      <c r="H12" s="97" t="str">
        <f t="shared" ref="H12:H75" ca="1" si="0">IF($E12="","",INDIRECT("'"&amp;$E12&amp;"'!N$5"))</f>
        <v/>
      </c>
      <c r="I12" s="97" t="str">
        <f t="shared" ref="I12:I75" ca="1" si="1">IF($E12="","", INDIRECT("'"&amp;$E12&amp;"'!O$5"))</f>
        <v/>
      </c>
      <c r="J12" s="98"/>
    </row>
    <row r="13" spans="2:10" ht="15.3" x14ac:dyDescent="0.55000000000000004">
      <c r="B13" s="92"/>
      <c r="C13" s="93"/>
      <c r="D13" s="94"/>
      <c r="E13" s="95"/>
      <c r="F13" s="96"/>
      <c r="G13" s="99"/>
      <c r="H13" s="97" t="str">
        <f t="shared" ca="1" si="0"/>
        <v/>
      </c>
      <c r="I13" s="97" t="str">
        <f t="shared" ca="1" si="1"/>
        <v/>
      </c>
      <c r="J13" s="98"/>
    </row>
    <row r="14" spans="2:10" ht="15.3" x14ac:dyDescent="0.55000000000000004">
      <c r="B14" s="92"/>
      <c r="C14" s="93"/>
      <c r="D14" s="94"/>
      <c r="E14" s="95"/>
      <c r="F14" s="96"/>
      <c r="G14" s="99"/>
      <c r="H14" s="97" t="str">
        <f t="shared" ca="1" si="0"/>
        <v/>
      </c>
      <c r="I14" s="97" t="str">
        <f t="shared" ca="1" si="1"/>
        <v/>
      </c>
      <c r="J14" s="98"/>
    </row>
    <row r="15" spans="2:10" ht="15.3" x14ac:dyDescent="0.55000000000000004">
      <c r="B15" s="92"/>
      <c r="C15" s="93"/>
      <c r="D15" s="94"/>
      <c r="E15" s="95"/>
      <c r="F15" s="96"/>
      <c r="G15" s="99"/>
      <c r="H15" s="97" t="str">
        <f t="shared" ca="1" si="0"/>
        <v/>
      </c>
      <c r="I15" s="97" t="str">
        <f t="shared" ca="1" si="1"/>
        <v/>
      </c>
      <c r="J15" s="98"/>
    </row>
    <row r="16" spans="2:10" ht="15.3" x14ac:dyDescent="0.55000000000000004">
      <c r="B16" s="92"/>
      <c r="C16" s="93"/>
      <c r="D16" s="94"/>
      <c r="E16" s="95"/>
      <c r="F16" s="96"/>
      <c r="G16" s="99"/>
      <c r="H16" s="97" t="str">
        <f t="shared" ca="1" si="0"/>
        <v/>
      </c>
      <c r="I16" s="97" t="str">
        <f t="shared" ca="1" si="1"/>
        <v/>
      </c>
      <c r="J16" s="98"/>
    </row>
    <row r="17" spans="2:10" ht="15.3" x14ac:dyDescent="0.55000000000000004">
      <c r="B17" s="92"/>
      <c r="C17" s="93"/>
      <c r="D17" s="94"/>
      <c r="E17" s="95"/>
      <c r="F17" s="96"/>
      <c r="G17" s="99"/>
      <c r="H17" s="97" t="str">
        <f t="shared" ca="1" si="0"/>
        <v/>
      </c>
      <c r="I17" s="97" t="str">
        <f t="shared" ca="1" si="1"/>
        <v/>
      </c>
      <c r="J17" s="98"/>
    </row>
    <row r="18" spans="2:10" ht="15.3" x14ac:dyDescent="0.55000000000000004">
      <c r="B18" s="92" t="s">
        <v>262</v>
      </c>
      <c r="C18" s="93"/>
      <c r="D18" s="94" t="s">
        <v>263</v>
      </c>
      <c r="E18" s="95"/>
      <c r="F18" s="96"/>
      <c r="G18" s="96"/>
      <c r="H18" s="97" t="str">
        <f t="shared" ca="1" si="0"/>
        <v/>
      </c>
      <c r="I18" s="97" t="str">
        <f t="shared" ca="1" si="1"/>
        <v/>
      </c>
      <c r="J18" s="98"/>
    </row>
    <row r="19" spans="2:10" ht="15.3" x14ac:dyDescent="0.55000000000000004">
      <c r="B19" s="92"/>
      <c r="C19" s="93"/>
      <c r="D19" s="94"/>
      <c r="E19" s="95"/>
      <c r="F19" s="96"/>
      <c r="G19" s="96"/>
      <c r="H19" s="97" t="str">
        <f t="shared" ca="1" si="0"/>
        <v/>
      </c>
      <c r="I19" s="97" t="str">
        <f t="shared" ca="1" si="1"/>
        <v/>
      </c>
      <c r="J19" s="98"/>
    </row>
    <row r="20" spans="2:10" ht="15.3" x14ac:dyDescent="0.55000000000000004">
      <c r="B20" s="92"/>
      <c r="C20" s="93"/>
      <c r="D20" s="94"/>
      <c r="E20" s="95"/>
      <c r="F20" s="96"/>
      <c r="G20" s="96"/>
      <c r="H20" s="97" t="str">
        <f t="shared" ca="1" si="0"/>
        <v/>
      </c>
      <c r="I20" s="97" t="str">
        <f t="shared" ca="1" si="1"/>
        <v/>
      </c>
      <c r="J20" s="98"/>
    </row>
    <row r="21" spans="2:10" ht="15.3" x14ac:dyDescent="0.55000000000000004">
      <c r="B21" s="92" t="s">
        <v>264</v>
      </c>
      <c r="C21" s="93"/>
      <c r="D21" s="94" t="s">
        <v>265</v>
      </c>
      <c r="E21" s="95"/>
      <c r="F21" s="96"/>
      <c r="G21" s="96"/>
      <c r="H21" s="97" t="str">
        <f t="shared" ca="1" si="0"/>
        <v/>
      </c>
      <c r="I21" s="97" t="str">
        <f t="shared" ca="1" si="1"/>
        <v/>
      </c>
      <c r="J21" s="98"/>
    </row>
    <row r="22" spans="2:10" ht="15.3" x14ac:dyDescent="0.55000000000000004">
      <c r="B22" s="92"/>
      <c r="C22" s="93"/>
      <c r="D22" s="94"/>
      <c r="E22" s="95"/>
      <c r="F22" s="96"/>
      <c r="G22" s="96"/>
      <c r="H22" s="97" t="str">
        <f t="shared" ca="1" si="0"/>
        <v/>
      </c>
      <c r="I22" s="97" t="str">
        <f t="shared" ca="1" si="1"/>
        <v/>
      </c>
      <c r="J22" s="98"/>
    </row>
    <row r="23" spans="2:10" ht="15.3" x14ac:dyDescent="0.55000000000000004">
      <c r="B23" s="92"/>
      <c r="C23" s="93"/>
      <c r="D23" s="94"/>
      <c r="E23" s="95"/>
      <c r="F23" s="96"/>
      <c r="G23" s="96"/>
      <c r="H23" s="97" t="str">
        <f t="shared" ca="1" si="0"/>
        <v/>
      </c>
      <c r="I23" s="97" t="str">
        <f t="shared" ca="1" si="1"/>
        <v/>
      </c>
      <c r="J23" s="98"/>
    </row>
    <row r="24" spans="2:10" ht="15.3" x14ac:dyDescent="0.55000000000000004">
      <c r="B24" s="92"/>
      <c r="C24" s="93"/>
      <c r="D24" s="94"/>
      <c r="E24" s="95"/>
      <c r="F24" s="96"/>
      <c r="G24" s="96"/>
      <c r="H24" s="97" t="str">
        <f t="shared" ca="1" si="0"/>
        <v/>
      </c>
      <c r="I24" s="97" t="str">
        <f t="shared" ca="1" si="1"/>
        <v/>
      </c>
      <c r="J24" s="98"/>
    </row>
    <row r="25" spans="2:10" ht="15.3" x14ac:dyDescent="0.55000000000000004">
      <c r="B25" s="100"/>
      <c r="C25" s="101"/>
      <c r="D25" s="102"/>
      <c r="E25" s="95"/>
      <c r="F25" s="96"/>
      <c r="G25" s="96"/>
      <c r="H25" s="97" t="str">
        <f t="shared" ca="1" si="0"/>
        <v/>
      </c>
      <c r="I25" s="97" t="str">
        <f t="shared" ca="1" si="1"/>
        <v/>
      </c>
      <c r="J25" s="98"/>
    </row>
    <row r="26" spans="2:10" ht="15.3" x14ac:dyDescent="0.55000000000000004">
      <c r="B26" s="92" t="s">
        <v>266</v>
      </c>
      <c r="C26" s="93"/>
      <c r="D26" s="94" t="s">
        <v>267</v>
      </c>
      <c r="E26" s="95"/>
      <c r="F26" s="96"/>
      <c r="G26" s="96"/>
      <c r="H26" s="97" t="str">
        <f t="shared" ca="1" si="0"/>
        <v/>
      </c>
      <c r="I26" s="97" t="str">
        <f t="shared" ca="1" si="1"/>
        <v/>
      </c>
      <c r="J26" s="98"/>
    </row>
    <row r="27" spans="2:10" ht="15.3" x14ac:dyDescent="0.55000000000000004">
      <c r="B27" s="100"/>
      <c r="C27" s="101"/>
      <c r="D27" s="102"/>
      <c r="E27" s="95"/>
      <c r="F27" s="96"/>
      <c r="G27" s="96"/>
      <c r="H27" s="97" t="str">
        <f t="shared" ca="1" si="0"/>
        <v/>
      </c>
      <c r="I27" s="97" t="str">
        <f t="shared" ca="1" si="1"/>
        <v/>
      </c>
      <c r="J27" s="98"/>
    </row>
    <row r="28" spans="2:10" ht="15.3" x14ac:dyDescent="0.55000000000000004">
      <c r="B28" s="92" t="s">
        <v>268</v>
      </c>
      <c r="C28" s="93"/>
      <c r="D28" s="94" t="s">
        <v>269</v>
      </c>
      <c r="E28" s="95"/>
      <c r="F28" s="96"/>
      <c r="G28" s="96"/>
      <c r="H28" s="97" t="str">
        <f t="shared" ca="1" si="0"/>
        <v/>
      </c>
      <c r="I28" s="97" t="str">
        <f t="shared" ca="1" si="1"/>
        <v/>
      </c>
      <c r="J28" s="98"/>
    </row>
    <row r="29" spans="2:10" ht="15.3" x14ac:dyDescent="0.55000000000000004">
      <c r="B29" s="92"/>
      <c r="C29" s="93"/>
      <c r="D29" s="94"/>
      <c r="E29" s="95"/>
      <c r="F29" s="96"/>
      <c r="G29" s="96"/>
      <c r="H29" s="97" t="str">
        <f t="shared" ca="1" si="0"/>
        <v/>
      </c>
      <c r="I29" s="97" t="str">
        <f t="shared" ca="1" si="1"/>
        <v/>
      </c>
      <c r="J29" s="98"/>
    </row>
    <row r="30" spans="2:10" ht="15.3" x14ac:dyDescent="0.55000000000000004">
      <c r="B30" s="92"/>
      <c r="C30" s="93"/>
      <c r="D30" s="94"/>
      <c r="E30" s="95"/>
      <c r="F30" s="96"/>
      <c r="G30" s="96"/>
      <c r="H30" s="97"/>
      <c r="I30" s="97"/>
      <c r="J30" s="98"/>
    </row>
    <row r="31" spans="2:10" ht="15.3" x14ac:dyDescent="0.55000000000000004">
      <c r="B31" s="92"/>
      <c r="C31" s="93"/>
      <c r="D31" s="94"/>
      <c r="E31" s="95"/>
      <c r="F31" s="96"/>
      <c r="G31" s="96"/>
      <c r="H31" s="97"/>
      <c r="I31" s="97"/>
      <c r="J31" s="98"/>
    </row>
    <row r="32" spans="2:10" ht="15.3" x14ac:dyDescent="0.55000000000000004">
      <c r="B32" s="92" t="s">
        <v>270</v>
      </c>
      <c r="C32" s="93"/>
      <c r="D32" s="94" t="s">
        <v>271</v>
      </c>
      <c r="E32" s="103"/>
      <c r="F32" s="96"/>
      <c r="G32" s="96"/>
      <c r="H32" s="97"/>
      <c r="I32" s="97"/>
      <c r="J32" s="98"/>
    </row>
    <row r="33" spans="2:10" ht="15.3" x14ac:dyDescent="0.55000000000000004">
      <c r="B33" s="92"/>
      <c r="C33" s="93"/>
      <c r="D33" s="94"/>
      <c r="E33" s="95"/>
      <c r="F33" s="96"/>
      <c r="G33" s="96"/>
      <c r="H33" s="97"/>
      <c r="I33" s="97"/>
      <c r="J33" s="98"/>
    </row>
    <row r="34" spans="2:10" ht="15.3" x14ac:dyDescent="0.55000000000000004">
      <c r="B34" s="92"/>
      <c r="C34" s="93"/>
      <c r="D34" s="94"/>
      <c r="E34" s="95"/>
      <c r="F34" s="96"/>
      <c r="G34" s="96"/>
      <c r="H34" s="97"/>
      <c r="I34" s="97"/>
      <c r="J34" s="98"/>
    </row>
    <row r="35" spans="2:10" ht="15.3" x14ac:dyDescent="0.55000000000000004">
      <c r="B35" s="92"/>
      <c r="C35" s="93"/>
      <c r="D35" s="94"/>
      <c r="E35" s="104"/>
      <c r="F35" s="96"/>
      <c r="G35" s="96"/>
      <c r="H35" s="97"/>
      <c r="I35" s="97"/>
      <c r="J35" s="98"/>
    </row>
    <row r="36" spans="2:10" ht="15.3" x14ac:dyDescent="0.55000000000000004">
      <c r="B36" s="92"/>
      <c r="C36" s="93"/>
      <c r="D36" s="94"/>
      <c r="E36" s="104"/>
      <c r="F36" s="96"/>
      <c r="G36" s="96"/>
      <c r="H36" s="97"/>
      <c r="I36" s="97"/>
      <c r="J36" s="98"/>
    </row>
    <row r="37" spans="2:10" ht="15.3" x14ac:dyDescent="0.55000000000000004">
      <c r="B37" s="92"/>
      <c r="C37" s="93"/>
      <c r="D37" s="94"/>
      <c r="E37" s="104"/>
      <c r="F37" s="96"/>
      <c r="G37" s="96"/>
      <c r="H37" s="97"/>
      <c r="I37" s="97"/>
      <c r="J37" s="98"/>
    </row>
    <row r="38" spans="2:10" ht="15.3" x14ac:dyDescent="0.55000000000000004">
      <c r="B38" s="92" t="s">
        <v>272</v>
      </c>
      <c r="C38" s="93"/>
      <c r="D38" s="94" t="s">
        <v>274</v>
      </c>
      <c r="E38" s="105"/>
      <c r="F38" s="96"/>
      <c r="G38" s="96"/>
      <c r="H38" s="97"/>
      <c r="I38" s="97"/>
      <c r="J38" s="98"/>
    </row>
    <row r="39" spans="2:10" ht="15.3" x14ac:dyDescent="0.55000000000000004">
      <c r="B39" s="92"/>
      <c r="C39" s="93"/>
      <c r="D39" s="94"/>
      <c r="E39" s="105"/>
      <c r="F39" s="96"/>
      <c r="G39" s="96"/>
      <c r="H39" s="97"/>
      <c r="I39" s="97"/>
      <c r="J39" s="98"/>
    </row>
    <row r="40" spans="2:10" ht="15.3" x14ac:dyDescent="0.55000000000000004">
      <c r="B40" s="92"/>
      <c r="C40" s="93"/>
      <c r="D40" s="94"/>
      <c r="E40" s="104"/>
      <c r="F40" s="96"/>
      <c r="G40" s="96"/>
      <c r="H40" s="97"/>
      <c r="I40" s="97"/>
      <c r="J40" s="98"/>
    </row>
    <row r="41" spans="2:10" ht="15.3" x14ac:dyDescent="0.55000000000000004">
      <c r="B41" s="92"/>
      <c r="C41" s="93"/>
      <c r="D41" s="94"/>
      <c r="E41" s="104"/>
      <c r="F41" s="96"/>
      <c r="G41" s="96"/>
      <c r="H41" s="97"/>
      <c r="I41" s="97"/>
      <c r="J41" s="98"/>
    </row>
    <row r="42" spans="2:10" ht="15.3" x14ac:dyDescent="0.55000000000000004">
      <c r="B42" s="92"/>
      <c r="C42" s="93"/>
      <c r="D42" s="94"/>
      <c r="E42" s="104"/>
      <c r="F42" s="96"/>
      <c r="G42" s="96"/>
      <c r="H42" s="97"/>
      <c r="I42" s="97"/>
      <c r="J42" s="98"/>
    </row>
    <row r="43" spans="2:10" ht="15.3" x14ac:dyDescent="0.55000000000000004">
      <c r="B43" s="92"/>
      <c r="C43" s="93"/>
      <c r="D43" s="94"/>
      <c r="E43" s="104"/>
      <c r="F43" s="96"/>
      <c r="G43" s="96"/>
      <c r="H43" s="97"/>
      <c r="I43" s="97"/>
      <c r="J43" s="98"/>
    </row>
    <row r="44" spans="2:10" ht="15.3" x14ac:dyDescent="0.55000000000000004">
      <c r="B44" s="92"/>
      <c r="C44" s="93"/>
      <c r="D44" s="94"/>
      <c r="E44" s="104"/>
      <c r="F44" s="96"/>
      <c r="G44" s="96"/>
      <c r="H44" s="97"/>
      <c r="I44" s="97"/>
      <c r="J44" s="98"/>
    </row>
    <row r="45" spans="2:10" ht="15.3" x14ac:dyDescent="0.55000000000000004">
      <c r="B45" s="92"/>
      <c r="C45" s="93"/>
      <c r="D45" s="94"/>
      <c r="E45" s="106"/>
      <c r="F45" s="96"/>
      <c r="G45" s="96"/>
      <c r="H45" s="97"/>
      <c r="I45" s="97"/>
      <c r="J45" s="98"/>
    </row>
    <row r="46" spans="2:10" ht="15.3" x14ac:dyDescent="0.55000000000000004">
      <c r="B46" s="92"/>
      <c r="C46" s="93"/>
      <c r="D46" s="94"/>
      <c r="E46" s="104"/>
      <c r="F46" s="96"/>
      <c r="G46" s="96"/>
      <c r="H46" s="97"/>
      <c r="I46" s="97"/>
      <c r="J46" s="98"/>
    </row>
    <row r="47" spans="2:10" ht="15.3" x14ac:dyDescent="0.55000000000000004">
      <c r="B47" s="92"/>
      <c r="C47" s="93"/>
      <c r="D47" s="94"/>
      <c r="E47" s="104"/>
      <c r="F47" s="96"/>
      <c r="G47" s="96"/>
      <c r="H47" s="97"/>
      <c r="I47" s="97"/>
      <c r="J47" s="98"/>
    </row>
    <row r="48" spans="2:10" ht="15.3" x14ac:dyDescent="0.55000000000000004">
      <c r="B48" s="107">
        <v>10</v>
      </c>
      <c r="C48" s="108"/>
      <c r="D48" s="94" t="s">
        <v>275</v>
      </c>
      <c r="E48" s="95"/>
      <c r="F48" s="96"/>
      <c r="G48" s="96"/>
      <c r="H48" s="97" t="str">
        <f t="shared" ca="1" si="0"/>
        <v/>
      </c>
      <c r="I48" s="97" t="str">
        <f t="shared" ca="1" si="1"/>
        <v/>
      </c>
      <c r="J48" s="98"/>
    </row>
    <row r="49" spans="2:10" ht="15.3" x14ac:dyDescent="0.55000000000000004">
      <c r="B49" s="107"/>
      <c r="C49" s="108"/>
      <c r="D49" s="94"/>
      <c r="E49" s="95"/>
      <c r="F49" s="96"/>
      <c r="G49" s="96"/>
      <c r="H49" s="97" t="str">
        <f t="shared" ca="1" si="0"/>
        <v/>
      </c>
      <c r="I49" s="97" t="str">
        <f t="shared" ca="1" si="1"/>
        <v/>
      </c>
      <c r="J49" s="98"/>
    </row>
    <row r="50" spans="2:10" ht="15.3" x14ac:dyDescent="0.55000000000000004">
      <c r="B50" s="107"/>
      <c r="C50" s="108"/>
      <c r="D50" s="94"/>
      <c r="E50" s="95"/>
      <c r="F50" s="96"/>
      <c r="G50" s="96"/>
      <c r="H50" s="97" t="str">
        <f t="shared" ca="1" si="0"/>
        <v/>
      </c>
      <c r="I50" s="97" t="str">
        <f t="shared" ca="1" si="1"/>
        <v/>
      </c>
      <c r="J50" s="98"/>
    </row>
    <row r="51" spans="2:10" ht="15.3" x14ac:dyDescent="0.55000000000000004">
      <c r="B51" s="107"/>
      <c r="C51" s="108"/>
      <c r="D51" s="94"/>
      <c r="E51" s="95"/>
      <c r="F51" s="96"/>
      <c r="G51" s="96"/>
      <c r="H51" s="97" t="str">
        <f t="shared" ca="1" si="0"/>
        <v/>
      </c>
      <c r="I51" s="97" t="str">
        <f t="shared" ca="1" si="1"/>
        <v/>
      </c>
      <c r="J51" s="98"/>
    </row>
    <row r="52" spans="2:10" ht="15.3" x14ac:dyDescent="0.55000000000000004">
      <c r="B52" s="107"/>
      <c r="C52" s="108"/>
      <c r="D52" s="94"/>
      <c r="E52" s="95"/>
      <c r="F52" s="96"/>
      <c r="G52" s="96"/>
      <c r="H52" s="97" t="str">
        <f t="shared" ca="1" si="0"/>
        <v/>
      </c>
      <c r="I52" s="97" t="str">
        <f t="shared" ca="1" si="1"/>
        <v/>
      </c>
      <c r="J52" s="98"/>
    </row>
    <row r="53" spans="2:10" ht="15.3" x14ac:dyDescent="0.55000000000000004">
      <c r="B53" s="107"/>
      <c r="C53" s="108"/>
      <c r="D53" s="94"/>
      <c r="E53" s="95"/>
      <c r="F53" s="96"/>
      <c r="G53" s="96"/>
      <c r="H53" s="97" t="str">
        <f t="shared" ca="1" si="0"/>
        <v/>
      </c>
      <c r="I53" s="97" t="str">
        <f t="shared" ca="1" si="1"/>
        <v/>
      </c>
      <c r="J53" s="98"/>
    </row>
    <row r="54" spans="2:10" ht="15.3" x14ac:dyDescent="0.55000000000000004">
      <c r="B54" s="107"/>
      <c r="C54" s="108"/>
      <c r="D54" s="94"/>
      <c r="E54" s="95"/>
      <c r="F54" s="96"/>
      <c r="G54" s="96"/>
      <c r="H54" s="97" t="str">
        <f t="shared" ca="1" si="0"/>
        <v/>
      </c>
      <c r="I54" s="97" t="str">
        <f t="shared" ca="1" si="1"/>
        <v/>
      </c>
      <c r="J54" s="98"/>
    </row>
    <row r="55" spans="2:10" ht="15.3" x14ac:dyDescent="0.55000000000000004">
      <c r="B55" s="107">
        <v>11</v>
      </c>
      <c r="C55" s="108"/>
      <c r="D55" s="94" t="s">
        <v>276</v>
      </c>
      <c r="E55" s="95"/>
      <c r="F55" s="96"/>
      <c r="G55" s="96"/>
      <c r="H55" s="97" t="str">
        <f t="shared" ca="1" si="0"/>
        <v/>
      </c>
      <c r="I55" s="97" t="str">
        <f t="shared" ca="1" si="1"/>
        <v/>
      </c>
      <c r="J55" s="98"/>
    </row>
    <row r="56" spans="2:10" ht="15.3" x14ac:dyDescent="0.55000000000000004">
      <c r="B56" s="107"/>
      <c r="C56" s="108"/>
      <c r="D56" s="94"/>
      <c r="E56" s="95"/>
      <c r="F56" s="96"/>
      <c r="G56" s="96"/>
      <c r="H56" s="97" t="str">
        <f t="shared" ca="1" si="0"/>
        <v/>
      </c>
      <c r="I56" s="97" t="str">
        <f t="shared" ca="1" si="1"/>
        <v/>
      </c>
      <c r="J56" s="98"/>
    </row>
    <row r="57" spans="2:10" ht="15.3" x14ac:dyDescent="0.55000000000000004">
      <c r="B57" s="107"/>
      <c r="C57" s="108"/>
      <c r="D57" s="94"/>
      <c r="E57" s="95"/>
      <c r="F57" s="96"/>
      <c r="G57" s="96"/>
      <c r="H57" s="97" t="str">
        <f t="shared" ca="1" si="0"/>
        <v/>
      </c>
      <c r="I57" s="97" t="str">
        <f t="shared" ca="1" si="1"/>
        <v/>
      </c>
      <c r="J57" s="98"/>
    </row>
    <row r="58" spans="2:10" ht="15.3" x14ac:dyDescent="0.55000000000000004">
      <c r="B58" s="107">
        <v>12</v>
      </c>
      <c r="C58" s="108"/>
      <c r="D58" s="94" t="s">
        <v>277</v>
      </c>
      <c r="E58" s="95"/>
      <c r="F58" s="96"/>
      <c r="G58" s="96"/>
      <c r="H58" s="97" t="str">
        <f t="shared" ca="1" si="0"/>
        <v/>
      </c>
      <c r="I58" s="97" t="str">
        <f t="shared" ca="1" si="1"/>
        <v/>
      </c>
      <c r="J58" s="98"/>
    </row>
    <row r="59" spans="2:10" ht="15.3" x14ac:dyDescent="0.55000000000000004">
      <c r="B59" s="107">
        <v>13</v>
      </c>
      <c r="C59" s="108"/>
      <c r="D59" s="94" t="s">
        <v>278</v>
      </c>
      <c r="E59" s="95"/>
      <c r="F59" s="96"/>
      <c r="G59" s="96"/>
      <c r="H59" s="97" t="str">
        <f t="shared" ca="1" si="0"/>
        <v/>
      </c>
      <c r="I59" s="97" t="str">
        <f t="shared" ca="1" si="1"/>
        <v/>
      </c>
      <c r="J59" s="98"/>
    </row>
    <row r="60" spans="2:10" ht="15.3" x14ac:dyDescent="0.55000000000000004">
      <c r="B60" s="107">
        <v>22</v>
      </c>
      <c r="C60" s="108"/>
      <c r="D60" s="94" t="s">
        <v>279</v>
      </c>
      <c r="E60" s="95"/>
      <c r="F60" s="96"/>
      <c r="G60" s="96"/>
      <c r="H60" s="97" t="str">
        <f t="shared" ca="1" si="0"/>
        <v/>
      </c>
      <c r="I60" s="97" t="str">
        <f t="shared" ca="1" si="1"/>
        <v/>
      </c>
      <c r="J60" s="98"/>
    </row>
    <row r="61" spans="2:10" ht="15.3" x14ac:dyDescent="0.55000000000000004">
      <c r="B61" s="107"/>
      <c r="C61" s="108"/>
      <c r="D61" s="94"/>
      <c r="E61" s="95"/>
      <c r="F61" s="96"/>
      <c r="G61" s="96"/>
      <c r="H61" s="97" t="str">
        <f t="shared" ca="1" si="0"/>
        <v/>
      </c>
      <c r="I61" s="97" t="str">
        <f t="shared" ca="1" si="1"/>
        <v/>
      </c>
      <c r="J61" s="98"/>
    </row>
    <row r="62" spans="2:10" ht="15.3" x14ac:dyDescent="0.55000000000000004">
      <c r="B62" s="107"/>
      <c r="C62" s="108"/>
      <c r="D62" s="94"/>
      <c r="E62" s="95"/>
      <c r="F62" s="96"/>
      <c r="G62" s="96"/>
      <c r="H62" s="97" t="str">
        <f t="shared" ca="1" si="0"/>
        <v/>
      </c>
      <c r="I62" s="97" t="str">
        <f t="shared" ca="1" si="1"/>
        <v/>
      </c>
      <c r="J62" s="98"/>
    </row>
    <row r="63" spans="2:10" ht="15.3" x14ac:dyDescent="0.55000000000000004">
      <c r="B63" s="107"/>
      <c r="C63" s="108"/>
      <c r="D63" s="94"/>
      <c r="E63" s="95"/>
      <c r="F63" s="96"/>
      <c r="G63" s="96"/>
      <c r="H63" s="97" t="str">
        <f t="shared" ca="1" si="0"/>
        <v/>
      </c>
      <c r="I63" s="97" t="str">
        <f t="shared" ca="1" si="1"/>
        <v/>
      </c>
      <c r="J63" s="98"/>
    </row>
    <row r="64" spans="2:10" ht="15.3" x14ac:dyDescent="0.55000000000000004">
      <c r="B64" s="107">
        <v>23</v>
      </c>
      <c r="C64" s="108"/>
      <c r="D64" s="94" t="s">
        <v>280</v>
      </c>
      <c r="E64" s="95"/>
      <c r="F64" s="96"/>
      <c r="G64" s="96"/>
      <c r="H64" s="97" t="str">
        <f t="shared" ca="1" si="0"/>
        <v/>
      </c>
      <c r="I64" s="97" t="str">
        <f t="shared" ca="1" si="1"/>
        <v/>
      </c>
      <c r="J64" s="98"/>
    </row>
    <row r="65" spans="2:10" ht="15.3" x14ac:dyDescent="0.55000000000000004">
      <c r="B65" s="107"/>
      <c r="C65" s="108"/>
      <c r="D65" s="94"/>
      <c r="E65" s="95"/>
      <c r="F65" s="96"/>
      <c r="G65" s="96"/>
      <c r="H65" s="97" t="str">
        <f t="shared" ca="1" si="0"/>
        <v/>
      </c>
      <c r="I65" s="97" t="str">
        <f t="shared" ca="1" si="1"/>
        <v/>
      </c>
      <c r="J65" s="98"/>
    </row>
    <row r="66" spans="2:10" ht="15.3" x14ac:dyDescent="0.55000000000000004">
      <c r="B66" s="107"/>
      <c r="C66" s="108"/>
      <c r="D66" s="94"/>
      <c r="E66" s="95"/>
      <c r="F66" s="96"/>
      <c r="G66" s="96"/>
      <c r="H66" s="97" t="str">
        <f t="shared" ca="1" si="0"/>
        <v/>
      </c>
      <c r="I66" s="97" t="str">
        <f t="shared" ca="1" si="1"/>
        <v/>
      </c>
      <c r="J66" s="98"/>
    </row>
    <row r="67" spans="2:10" ht="15.3" x14ac:dyDescent="0.55000000000000004">
      <c r="B67" s="107">
        <v>25</v>
      </c>
      <c r="C67" s="108"/>
      <c r="D67" s="94" t="s">
        <v>281</v>
      </c>
      <c r="E67" s="95"/>
      <c r="F67" s="96"/>
      <c r="G67" s="96"/>
      <c r="H67" s="97" t="str">
        <f t="shared" ca="1" si="0"/>
        <v/>
      </c>
      <c r="I67" s="97" t="str">
        <f t="shared" ca="1" si="1"/>
        <v/>
      </c>
      <c r="J67" s="98"/>
    </row>
    <row r="68" spans="2:10" ht="15.3" x14ac:dyDescent="0.55000000000000004">
      <c r="B68" s="107">
        <v>26</v>
      </c>
      <c r="C68" s="108"/>
      <c r="D68" s="94" t="s">
        <v>282</v>
      </c>
      <c r="E68" s="95"/>
      <c r="F68" s="96"/>
      <c r="G68" s="96"/>
      <c r="H68" s="97" t="str">
        <f t="shared" ca="1" si="0"/>
        <v/>
      </c>
      <c r="I68" s="97" t="str">
        <f t="shared" ca="1" si="1"/>
        <v/>
      </c>
      <c r="J68" s="98"/>
    </row>
    <row r="69" spans="2:10" ht="15.3" x14ac:dyDescent="0.55000000000000004">
      <c r="B69" s="107"/>
      <c r="C69" s="108"/>
      <c r="D69" s="94"/>
      <c r="E69" s="95"/>
      <c r="F69" s="96"/>
      <c r="G69" s="96"/>
      <c r="H69" s="97" t="str">
        <f t="shared" ca="1" si="0"/>
        <v/>
      </c>
      <c r="I69" s="97" t="str">
        <f t="shared" ca="1" si="1"/>
        <v/>
      </c>
      <c r="J69" s="98"/>
    </row>
    <row r="70" spans="2:10" ht="15.3" x14ac:dyDescent="0.55000000000000004">
      <c r="B70" s="107"/>
      <c r="C70" s="108"/>
      <c r="D70" s="94"/>
      <c r="E70" s="95"/>
      <c r="F70" s="96"/>
      <c r="G70" s="96"/>
      <c r="H70" s="97" t="str">
        <f t="shared" ca="1" si="0"/>
        <v/>
      </c>
      <c r="I70" s="97" t="str">
        <f t="shared" ca="1" si="1"/>
        <v/>
      </c>
      <c r="J70" s="98"/>
    </row>
    <row r="71" spans="2:10" ht="15.3" x14ac:dyDescent="0.55000000000000004">
      <c r="B71" s="107"/>
      <c r="C71" s="108"/>
      <c r="D71" s="94"/>
      <c r="E71" s="95"/>
      <c r="F71" s="96"/>
      <c r="G71" s="96"/>
      <c r="H71" s="97" t="str">
        <f t="shared" ca="1" si="0"/>
        <v/>
      </c>
      <c r="I71" s="97" t="str">
        <f t="shared" ca="1" si="1"/>
        <v/>
      </c>
      <c r="J71" s="98"/>
    </row>
    <row r="72" spans="2:10" ht="15.3" x14ac:dyDescent="0.55000000000000004">
      <c r="B72" s="107">
        <v>27</v>
      </c>
      <c r="C72" s="109"/>
      <c r="D72" s="94" t="s">
        <v>283</v>
      </c>
      <c r="E72" s="104"/>
      <c r="F72" s="96"/>
      <c r="G72" s="96"/>
      <c r="H72" s="110" t="str">
        <f t="shared" ca="1" si="0"/>
        <v/>
      </c>
      <c r="I72" s="110" t="str">
        <f t="shared" ca="1" si="1"/>
        <v/>
      </c>
      <c r="J72" s="98"/>
    </row>
    <row r="73" spans="2:10" ht="15.3" x14ac:dyDescent="0.55000000000000004">
      <c r="B73" s="107">
        <v>28</v>
      </c>
      <c r="C73" s="109"/>
      <c r="D73" s="94" t="s">
        <v>284</v>
      </c>
      <c r="E73" s="104"/>
      <c r="F73" s="96"/>
      <c r="G73" s="96"/>
      <c r="H73" s="110" t="str">
        <f t="shared" ca="1" si="0"/>
        <v/>
      </c>
      <c r="I73" s="110" t="str">
        <f t="shared" ca="1" si="1"/>
        <v/>
      </c>
      <c r="J73" s="98"/>
    </row>
    <row r="74" spans="2:10" ht="15.3" x14ac:dyDescent="0.55000000000000004">
      <c r="B74" s="107">
        <v>31</v>
      </c>
      <c r="C74" s="109"/>
      <c r="D74" s="94" t="s">
        <v>285</v>
      </c>
      <c r="E74" s="104"/>
      <c r="F74" s="96"/>
      <c r="G74" s="96"/>
      <c r="H74" s="110" t="str">
        <f t="shared" ca="1" si="0"/>
        <v/>
      </c>
      <c r="I74" s="110" t="str">
        <f t="shared" ca="1" si="1"/>
        <v/>
      </c>
      <c r="J74" s="98"/>
    </row>
    <row r="75" spans="2:10" ht="15.3" x14ac:dyDescent="0.55000000000000004">
      <c r="B75" s="107"/>
      <c r="C75" s="109"/>
      <c r="D75" s="94"/>
      <c r="E75" s="104"/>
      <c r="F75" s="96"/>
      <c r="G75" s="96"/>
      <c r="H75" s="110" t="str">
        <f t="shared" ca="1" si="0"/>
        <v/>
      </c>
      <c r="I75" s="110" t="str">
        <f t="shared" ca="1" si="1"/>
        <v/>
      </c>
      <c r="J75" s="98"/>
    </row>
    <row r="76" spans="2:10" ht="15.3" x14ac:dyDescent="0.55000000000000004">
      <c r="B76" s="107">
        <v>32</v>
      </c>
      <c r="C76" s="109"/>
      <c r="D76" s="94" t="s">
        <v>286</v>
      </c>
      <c r="E76" s="104"/>
      <c r="F76" s="96"/>
      <c r="G76" s="96"/>
      <c r="H76" s="110" t="str">
        <f t="shared" ref="H76" ca="1" si="2">IF($E76="","",INDIRECT("'"&amp;$E76&amp;"'!N$5"))</f>
        <v/>
      </c>
      <c r="I76" s="110" t="str">
        <f t="shared" ref="I76" ca="1" si="3">IF($E76="","", INDIRECT("'"&amp;$E76&amp;"'!O$5"))</f>
        <v/>
      </c>
      <c r="J76" s="98"/>
    </row>
    <row r="77" spans="2:10" ht="15.3" x14ac:dyDescent="0.55000000000000004">
      <c r="B77" s="107" t="s">
        <v>287</v>
      </c>
      <c r="C77" s="109"/>
      <c r="D77" s="94" t="s">
        <v>288</v>
      </c>
      <c r="E77" s="106"/>
      <c r="F77" s="96"/>
      <c r="G77" s="96"/>
      <c r="H77" s="110" t="str">
        <f ca="1">IF($E77="","",INDIRECT("'"&amp;$E77&amp;"'!N$5"))</f>
        <v/>
      </c>
      <c r="I77" s="110" t="str">
        <f ca="1">IF($E77="","", INDIRECT("'"&amp;$E77&amp;"'!O$5"))</f>
        <v/>
      </c>
      <c r="J77" s="98"/>
    </row>
    <row r="78" spans="2:10" ht="15.6" thickBot="1" x14ac:dyDescent="0.6">
      <c r="B78" s="111" t="s">
        <v>289</v>
      </c>
      <c r="C78" s="112" t="s">
        <v>273</v>
      </c>
      <c r="D78" s="113" t="s">
        <v>290</v>
      </c>
      <c r="E78" s="114" t="str">
        <f t="shared" ref="E78" si="4">HYPERLINK("#0000!A1", "0000")</f>
        <v>0000</v>
      </c>
      <c r="F78" s="115" t="s">
        <v>291</v>
      </c>
      <c r="G78" s="115" t="s">
        <v>292</v>
      </c>
      <c r="H78" s="116" t="e">
        <f ca="1">IF($E78="","",INDIRECT("'"&amp;$E78&amp;"'!N$5"))</f>
        <v>#REF!</v>
      </c>
      <c r="I78" s="116" t="e">
        <f ca="1">IF($E78="","", INDIRECT("'"&amp;$E78&amp;"'!O$5"))</f>
        <v>#REF!</v>
      </c>
      <c r="J78" s="117"/>
    </row>
  </sheetData>
  <mergeCells count="10">
    <mergeCell ref="B8:C8"/>
    <mergeCell ref="D8:F8"/>
    <mergeCell ref="H8:J8"/>
    <mergeCell ref="B2:J4"/>
    <mergeCell ref="B6:C6"/>
    <mergeCell ref="D6:F6"/>
    <mergeCell ref="H6:J6"/>
    <mergeCell ref="B7:C7"/>
    <mergeCell ref="D7:F7"/>
    <mergeCell ref="H7:J7"/>
  </mergeCells>
  <conditionalFormatting sqref="J12:J78">
    <cfRule type="notContainsBlanks" dxfId="0" priority="1">
      <formula>LEN(TRIM(J12))&gt;0</formula>
    </cfRule>
  </conditionalFormatting>
  <dataValidations count="2">
    <dataValidation type="custom" showInputMessage="1" showErrorMessage="1" promptTitle="Monday's Only" prompt="You must input the date of a Monday." sqref="D8:F8" xr:uid="{53AC06D9-ED8A-46B2-A597-0EA184061FB7}">
      <formula1>WEEKDAY($D$8)=2</formula1>
    </dataValidation>
    <dataValidation type="list" allowBlank="1" showInputMessage="1" showErrorMessage="1" sqref="C12:C78" xr:uid="{956E0D84-39B4-4302-95F8-B441856BC594}">
      <formula1>"YES, NO"</formula1>
    </dataValidation>
  </dataValidations>
  <pageMargins left="0.25" right="0.25" top="0.75" bottom="0.75" header="0.3" footer="0.3"/>
  <pageSetup scale="57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FD859E-BDE2-4E14-A531-D6B50580CA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ImportQL</vt:lpstr>
      <vt:lpstr>Template</vt:lpstr>
      <vt:lpstr>Settings</vt:lpstr>
      <vt:lpstr>Index</vt:lpstr>
      <vt:lpstr>Index!Print_Area</vt:lpstr>
      <vt:lpstr>Template!Print_Area</vt:lpstr>
      <vt:lpstr>Quantity_Link_File_Path</vt:lpstr>
      <vt:lpstr>Report_Week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2020-01-21T23:29:20Z</cp:lastPrinted>
  <dcterms:created xsi:type="dcterms:W3CDTF">2019-04-09T17:53:55Z</dcterms:created>
  <dcterms:modified xsi:type="dcterms:W3CDTF">2020-01-24T02:27:24Z</dcterms:modified>
</cp:coreProperties>
</file>