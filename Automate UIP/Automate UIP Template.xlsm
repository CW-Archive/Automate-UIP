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5BD7D31E-ACFD-49D8-85E4-2F21A1303B7E}" xr6:coauthVersionLast="44" xr6:coauthVersionMax="44" xr10:uidLastSave="{00000000-0000-0000-0000-000000000000}"/>
  <bookViews>
    <workbookView xWindow="-96" yWindow="-96" windowWidth="23232" windowHeight="12552" activeTab="3" xr2:uid="{791B15CC-68B2-4D54-B53E-4FED7E26F6F4}"/>
  </bookViews>
  <sheets>
    <sheet name="ImportQL" sheetId="2" r:id="rId1"/>
    <sheet name="Template" sheetId="3" r:id="rId2"/>
    <sheet name="Settings" sheetId="4" r:id="rId3"/>
    <sheet name="Index" sheetId="5" r:id="rId4"/>
  </sheets>
  <functionGroups builtInGroupCount="19"/>
  <externalReferences>
    <externalReference r:id="rId5"/>
  </externalReferences>
  <definedNames>
    <definedName name="CountSaturdays">[1]Settings!$E$5</definedName>
    <definedName name="Default_Run_Date">[1]Settings!$E$7</definedName>
    <definedName name="ExternalData_1" localSheetId="0" hidden="1">ImportQL!$A$1:$R$99</definedName>
    <definedName name="_xlnm.Print_Area" localSheetId="3">Index!$B$2:$J$78</definedName>
    <definedName name="_xlnm.Print_Area" localSheetId="1">Template!$B$2:$O$40</definedName>
    <definedName name="Report_Week">Index!$D$8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8" i="5" l="1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B2" i="5"/>
  <c r="I78" i="5"/>
  <c r="H78" i="5" l="1"/>
  <c r="C4" i="3" l="1"/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C7" i="3"/>
  <c r="J6" i="3"/>
  <c r="C6" i="3"/>
  <c r="C5" i="3"/>
  <c r="R3" i="3"/>
  <c r="B2" i="3" s="1"/>
  <c r="R2" i="3"/>
  <c r="AE12" i="3"/>
  <c r="Z11" i="3"/>
  <c r="AE13" i="3"/>
  <c r="N9" i="3"/>
  <c r="AD9" i="3"/>
  <c r="AE9" i="3"/>
  <c r="Z13" i="3"/>
  <c r="R4" i="3"/>
  <c r="O9" i="3"/>
  <c r="AD11" i="3"/>
  <c r="Z14" i="3"/>
  <c r="Z10" i="3"/>
  <c r="AE14" i="3"/>
  <c r="T4" i="3"/>
  <c r="Z9" i="3"/>
  <c r="R5" i="3"/>
  <c r="AE11" i="3"/>
  <c r="AD10" i="3"/>
  <c r="Z12" i="3"/>
  <c r="N11" i="3"/>
  <c r="T5" i="3"/>
  <c r="V5" i="3"/>
  <c r="AD12" i="3"/>
  <c r="AD14" i="3"/>
  <c r="AE10" i="3"/>
  <c r="V4" i="3"/>
  <c r="AD13" i="3"/>
  <c r="O6" i="3" l="1"/>
  <c r="O5" i="3" s="1"/>
  <c r="V6" i="3" s="1"/>
  <c r="AF10" i="3"/>
  <c r="AF12" i="3"/>
  <c r="AF11" i="3"/>
  <c r="N12" i="3"/>
  <c r="O11" i="3"/>
  <c r="N6" i="3"/>
  <c r="N5" i="3" s="1"/>
  <c r="T6" i="3" s="1"/>
  <c r="AF14" i="3"/>
  <c r="Q10" i="3"/>
  <c r="Q11" i="3" s="1"/>
  <c r="Q12" i="3" s="1"/>
  <c r="Q13" i="3" s="1"/>
  <c r="Q14" i="3" s="1"/>
  <c r="Q15" i="3" s="1"/>
  <c r="Q16" i="3" s="1"/>
  <c r="AF9" i="3"/>
  <c r="AF13" i="3"/>
  <c r="Q17" i="3" l="1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<sst xmlns="http://schemas.openxmlformats.org/spreadsheetml/2006/main" count="326" uniqueCount="294">
  <si>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</si>
  <si>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</si>
  <si>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</si>
  <si>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</si>
  <si>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</si>
  <si>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</si>
  <si>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</si>
  <si>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</si>
  <si>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</si>
  <si>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</si>
  <si>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</si>
  <si>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</si>
  <si>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</si>
  <si>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</si>
  <si>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</si>
  <si>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</si>
  <si>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</si>
  <si>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</si>
  <si>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</si>
  <si>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</si>
  <si>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</si>
  <si>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</si>
  <si>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</si>
  <si>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</si>
  <si>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</si>
  <si>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</si>
  <si>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</si>
  <si>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</si>
  <si>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</si>
  <si>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</si>
  <si>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</si>
  <si>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</si>
  <si>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</si>
  <si>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</si>
  <si>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</si>
  <si>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</si>
  <si>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</si>
  <si>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</si>
  <si>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</si>
  <si>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</si>
  <si>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</si>
  <si>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</si>
  <si>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</si>
  <si>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</si>
  <si>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</si>
  <si>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</si>
  <si>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</si>
  <si>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</si>
  <si>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</si>
  <si>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</si>
  <si>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</si>
  <si>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</si>
  <si>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</si>
  <si>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</si>
  <si>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</si>
  <si>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</si>
  <si>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</si>
  <si>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</si>
  <si>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</si>
  <si>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</si>
  <si>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</si>
  <si>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</si>
  <si>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</si>
  <si>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</si>
  <si>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</si>
  <si>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</si>
  <si>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</si>
  <si>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</si>
  <si>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</si>
  <si>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</si>
  <si>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</si>
  <si>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</si>
  <si>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</si>
  <si>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</si>
  <si>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</si>
  <si>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</si>
  <si>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</si>
  <si>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</si>
  <si>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</si>
  <si>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</si>
  <si>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</si>
  <si>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</si>
  <si>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</si>
  <si>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</si>
  <si>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</si>
  <si>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</si>
  <si>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</si>
  <si>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</si>
  <si>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</si>
  <si>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</si>
  <si>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</si>
  <si>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</si>
  <si>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</si>
  <si>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</si>
  <si>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</si>
  <si>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</si>
  <si>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</si>
  <si>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</si>
  <si>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</si>
  <si>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</si>
  <si>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</si>
  <si>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</si>
  <si>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</si>
  <si>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</si>
  <si>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</si>
  <si>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</si>
  <si>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</si>
  <si>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</si>
  <si>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</si>
  <si>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</si>
  <si>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</si>
  <si>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</si>
  <si>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</si>
  <si>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</si>
  <si>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</si>
  <si>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</si>
  <si>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</si>
  <si>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</si>
  <si>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</si>
  <si>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</si>
  <si>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</si>
  <si>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</si>
  <si>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</si>
  <si>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</si>
  <si>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</si>
  <si>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</si>
  <si>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</si>
  <si>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</si>
  <si>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</si>
  <si>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</si>
  <si>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</si>
  <si>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</si>
  <si>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</si>
  <si>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</si>
  <si>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</si>
  <si>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</si>
  <si>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</si>
  <si>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</si>
  <si>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</si>
  <si>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</si>
  <si>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</si>
  <si>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</si>
  <si>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</si>
  <si>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</si>
  <si>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</si>
  <si>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</si>
  <si>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</si>
  <si>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</si>
  <si>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</si>
  <si>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</si>
  <si>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</si>
  <si>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</si>
  <si>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</si>
  <si>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</si>
  <si>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</si>
  <si>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</si>
  <si>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</si>
  <si>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</si>
  <si>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</si>
  <si>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</si>
  <si>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</si>
  <si>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</si>
  <si>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</si>
  <si>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</si>
  <si>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</si>
  <si>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</si>
  <si>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</si>
  <si>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</si>
  <si>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</si>
  <si>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</si>
  <si>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</si>
  <si>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</si>
  <si>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</si>
  <si>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</si>
  <si>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</si>
  <si>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</si>
  <si>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</si>
  <si>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</si>
  <si>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</si>
  <si>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</si>
  <si>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</si>
  <si>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</si>
  <si>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</si>
  <si>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</si>
  <si>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</si>
  <si>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</si>
  <si>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</si>
  <si>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</si>
  <si>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</si>
  <si>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</si>
  <si>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</si>
  <si>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</si>
  <si>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</si>
  <si>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</si>
  <si>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</si>
  <si>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</si>
  <si>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</si>
  <si>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</si>
  <si>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</si>
  <si>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</si>
  <si>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</si>
  <si>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</si>
  <si>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</si>
  <si>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</si>
  <si>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</si>
  <si>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</si>
  <si>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</si>
  <si>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</si>
  <si>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</si>
  <si>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</si>
  <si>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</si>
  <si>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</si>
  <si>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</si>
  <si>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</si>
  <si>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</si>
  <si>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</si>
  <si>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</si>
  <si>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</si>
  <si>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</si>
  <si>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</si>
  <si>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</si>
  <si>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</si>
  <si>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</si>
  <si>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</si>
  <si>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</si>
  <si>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</si>
  <si>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</si>
  <si>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</si>
  <si>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</si>
  <si>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</si>
  <si>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</si>
  <si>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</si>
  <si>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</si>
  <si>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</si>
  <si>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</si>
  <si>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</si>
  <si>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</si>
  <si>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</si>
  <si>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</si>
  <si>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</si>
  <si>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</si>
  <si>
    <t>Project Name:</t>
  </si>
  <si>
    <t>Herriman High 2</t>
  </si>
  <si>
    <t>Project Manager:</t>
  </si>
  <si>
    <t>Trent Huntsman</t>
  </si>
  <si>
    <t>W1027</t>
  </si>
  <si>
    <t>Superintendents:</t>
  </si>
  <si>
    <t>John Ebner</t>
  </si>
  <si>
    <t>Report Week:</t>
  </si>
  <si>
    <t>Project Engineer:</t>
  </si>
  <si>
    <t>Camron Walker</t>
  </si>
  <si>
    <t>Phase</t>
  </si>
  <si>
    <t>Reported</t>
  </si>
  <si>
    <t>Phase Description</t>
  </si>
  <si>
    <t>Trade ID</t>
  </si>
  <si>
    <t>Trade</t>
  </si>
  <si>
    <t>Sub Contractor</t>
  </si>
  <si>
    <t>Plan %</t>
  </si>
  <si>
    <t>Actual %</t>
  </si>
  <si>
    <t>Completion Date</t>
  </si>
  <si>
    <t>03</t>
  </si>
  <si>
    <t>Concrete</t>
  </si>
  <si>
    <t>04</t>
  </si>
  <si>
    <t>Masonry</t>
  </si>
  <si>
    <t>05</t>
  </si>
  <si>
    <t>Metals</t>
  </si>
  <si>
    <t>06</t>
  </si>
  <si>
    <t>Wood, Plastics &amp; Composites</t>
  </si>
  <si>
    <t>07</t>
  </si>
  <si>
    <t>Thermal &amp; Moisture Protection</t>
  </si>
  <si>
    <t>08</t>
  </si>
  <si>
    <t>YES</t>
  </si>
  <si>
    <t>Openings</t>
  </si>
  <si>
    <t>09</t>
  </si>
  <si>
    <t>NO</t>
  </si>
  <si>
    <t>Finishes</t>
  </si>
  <si>
    <t>Specialities</t>
  </si>
  <si>
    <t>Equipment</t>
  </si>
  <si>
    <t>Furnishings</t>
  </si>
  <si>
    <t xml:space="preserve">Special Construction </t>
  </si>
  <si>
    <t>Plumbing</t>
  </si>
  <si>
    <t>HVAC</t>
  </si>
  <si>
    <t>Integrated Automation</t>
  </si>
  <si>
    <t>Electrical</t>
  </si>
  <si>
    <t>Communications</t>
  </si>
  <si>
    <t>Electronic Safety &amp; Security</t>
  </si>
  <si>
    <t>Earthwork</t>
  </si>
  <si>
    <t>Site Improvements</t>
  </si>
  <si>
    <t>M</t>
  </si>
  <si>
    <t>Miscellaneous</t>
  </si>
  <si>
    <t>S</t>
  </si>
  <si>
    <t>Sample</t>
  </si>
  <si>
    <t>Sample Trade</t>
  </si>
  <si>
    <t>XYZ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</si>
</sst>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yyyy\-mm\-dd"/>
    <numFmt numFmtId="166" formatCode="[$-409]mmmm\ d\,\ yyyy;@"/>
    <numFmt numFmtId="167" formatCode="m/d/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36"/>
      <color theme="1"/>
      <name val="Arial Narrow"/>
      <family val="2"/>
    </font>
    <font>
      <b/>
      <i/>
      <sz val="36"/>
      <color theme="1"/>
      <name val="Arial Narrow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9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 applyAlignment="1">
      <alignment horizontal="right" vertical="center" indent="1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12" fillId="4" borderId="18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4" fillId="0" borderId="9" xfId="0" applyFont="1" applyBorder="1" applyAlignment="1">
      <alignment horizontal="right" vertical="center" indent="1"/>
    </xf>
    <xf numFmtId="0" fontId="14" fillId="0" borderId="0" xfId="0" applyFont="1" applyAlignment="1">
      <alignment horizontal="right" vertical="center" indent="1"/>
    </xf>
    <xf numFmtId="0" fontId="15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 wrapText="1" indent="1"/>
    </xf>
    <xf numFmtId="164" fontId="16" fillId="0" borderId="0" xfId="0" applyNumberFormat="1" applyFont="1" applyAlignment="1">
      <alignment vertical="center"/>
    </xf>
    <xf numFmtId="164" fontId="16" fillId="0" borderId="17" xfId="0" applyNumberFormat="1" applyFont="1" applyBorder="1" applyAlignment="1">
      <alignment vertical="center"/>
    </xf>
    <xf numFmtId="166" fontId="1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right" vertical="center" indent="1"/>
    </xf>
    <xf numFmtId="0" fontId="14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166" fontId="15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17" xfId="0" applyFont="1" applyBorder="1" applyAlignment="1">
      <alignment horizontal="left"/>
    </xf>
    <xf numFmtId="0" fontId="16" fillId="0" borderId="9" xfId="0" applyFont="1" applyBorder="1"/>
    <xf numFmtId="0" fontId="16" fillId="0" borderId="0" xfId="0" applyFont="1"/>
    <xf numFmtId="164" fontId="17" fillId="0" borderId="0" xfId="0" applyNumberFormat="1" applyFont="1" applyAlignment="1">
      <alignment horizontal="center"/>
    </xf>
    <xf numFmtId="167" fontId="16" fillId="0" borderId="17" xfId="0" applyNumberFormat="1" applyFont="1" applyBorder="1"/>
    <xf numFmtId="0" fontId="18" fillId="4" borderId="19" xfId="0" applyFont="1" applyFill="1" applyBorder="1" applyAlignment="1">
      <alignment horizontal="center" wrapText="1"/>
    </xf>
    <xf numFmtId="0" fontId="18" fillId="4" borderId="20" xfId="0" applyFont="1" applyFill="1" applyBorder="1" applyAlignment="1">
      <alignment horizontal="center" wrapText="1"/>
    </xf>
    <xf numFmtId="0" fontId="18" fillId="4" borderId="21" xfId="0" applyFont="1" applyFill="1" applyBorder="1" applyAlignment="1">
      <alignment wrapText="1"/>
    </xf>
    <xf numFmtId="0" fontId="18" fillId="4" borderId="21" xfId="0" applyFont="1" applyFill="1" applyBorder="1" applyAlignment="1">
      <alignment horizontal="center" wrapText="1"/>
    </xf>
    <xf numFmtId="0" fontId="18" fillId="4" borderId="21" xfId="0" applyFont="1" applyFill="1" applyBorder="1" applyAlignment="1">
      <alignment horizontal="left" wrapText="1"/>
    </xf>
    <xf numFmtId="164" fontId="18" fillId="4" borderId="22" xfId="0" applyNumberFormat="1" applyFont="1" applyFill="1" applyBorder="1" applyAlignment="1">
      <alignment horizontal="center" wrapText="1"/>
    </xf>
    <xf numFmtId="164" fontId="18" fillId="4" borderId="23" xfId="0" applyNumberFormat="1" applyFont="1" applyFill="1" applyBorder="1" applyAlignment="1">
      <alignment horizontal="center" wrapText="1"/>
    </xf>
    <xf numFmtId="167" fontId="18" fillId="4" borderId="24" xfId="0" applyNumberFormat="1" applyFont="1" applyFill="1" applyBorder="1" applyAlignment="1">
      <alignment horizontal="center" wrapText="1"/>
    </xf>
    <xf numFmtId="0" fontId="8" fillId="0" borderId="25" xfId="0" quotePrefix="1" applyFont="1" applyBorder="1" applyAlignment="1">
      <alignment horizontal="center" vertical="center"/>
    </xf>
    <xf numFmtId="0" fontId="8" fillId="0" borderId="26" xfId="0" quotePrefix="1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49" fontId="19" fillId="0" borderId="28" xfId="4" quotePrefix="1" applyNumberFormat="1" applyBorder="1" applyAlignment="1">
      <alignment horizontal="center"/>
    </xf>
    <xf numFmtId="0" fontId="7" fillId="0" borderId="27" xfId="0" applyFont="1" applyBorder="1" applyAlignment="1">
      <alignment horizontal="left"/>
    </xf>
    <xf numFmtId="164" fontId="8" fillId="0" borderId="29" xfId="0" applyNumberFormat="1" applyFont="1" applyBorder="1" applyAlignment="1">
      <alignment horizontal="center"/>
    </xf>
    <xf numFmtId="167" fontId="8" fillId="0" borderId="30" xfId="0" applyNumberFormat="1" applyFont="1" applyBorder="1" applyAlignment="1">
      <alignment horizontal="center"/>
    </xf>
    <xf numFmtId="0" fontId="7" fillId="0" borderId="28" xfId="0" applyFont="1" applyBorder="1" applyAlignment="1">
      <alignment horizontal="left"/>
    </xf>
    <xf numFmtId="0" fontId="7" fillId="0" borderId="25" xfId="0" quotePrefix="1" applyFont="1" applyBorder="1" applyAlignment="1">
      <alignment horizontal="center" vertical="center"/>
    </xf>
    <xf numFmtId="0" fontId="7" fillId="0" borderId="26" xfId="0" quotePrefix="1" applyFont="1" applyBorder="1" applyAlignment="1">
      <alignment horizontal="center" vertical="center"/>
    </xf>
    <xf numFmtId="0" fontId="7" fillId="0" borderId="27" xfId="0" applyFont="1" applyBorder="1" applyAlignment="1">
      <alignment horizontal="left" vertical="center"/>
    </xf>
    <xf numFmtId="0" fontId="19" fillId="0" borderId="28" xfId="4" quotePrefix="1" applyBorder="1" applyAlignment="1">
      <alignment horizontal="center"/>
    </xf>
    <xf numFmtId="49" fontId="19" fillId="0" borderId="27" xfId="4" quotePrefix="1" applyNumberFormat="1" applyBorder="1" applyAlignment="1">
      <alignment horizontal="center"/>
    </xf>
    <xf numFmtId="0" fontId="19" fillId="0" borderId="27" xfId="4" quotePrefix="1" applyBorder="1" applyAlignment="1">
      <alignment horizontal="center"/>
    </xf>
    <xf numFmtId="49" fontId="19" fillId="0" borderId="27" xfId="4" applyNumberFormat="1" applyBorder="1" applyAlignment="1">
      <alignment horizont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164" fontId="8" fillId="0" borderId="27" xfId="0" applyNumberFormat="1" applyFont="1" applyBorder="1" applyAlignment="1">
      <alignment horizontal="center"/>
    </xf>
    <xf numFmtId="0" fontId="8" fillId="0" borderId="31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32" xfId="0" applyFont="1" applyBorder="1" applyAlignment="1">
      <alignment horizontal="left" vertical="center"/>
    </xf>
    <xf numFmtId="0" fontId="19" fillId="0" borderId="32" xfId="4" applyBorder="1" applyAlignment="1">
      <alignment horizontal="center"/>
    </xf>
    <xf numFmtId="0" fontId="7" fillId="0" borderId="32" xfId="0" applyFont="1" applyBorder="1" applyAlignment="1">
      <alignment horizontal="left"/>
    </xf>
    <xf numFmtId="164" fontId="8" fillId="0" borderId="32" xfId="0" applyNumberFormat="1" applyFont="1" applyBorder="1" applyAlignment="1">
      <alignment horizontal="center"/>
    </xf>
    <xf numFmtId="167" fontId="8" fillId="0" borderId="33" xfId="0" applyNumberFormat="1" applyFont="1" applyBorder="1" applyAlignment="1">
      <alignment horizontal="center"/>
    </xf>
  </cellXfs>
  <cellStyles count="5">
    <cellStyle name="Calculation" xfId="3" builtinId="22"/>
    <cellStyle name="Hyperlink" xfId="4" builtinId="8"/>
    <cellStyle name="Input" xfId="2" builtinId="20"/>
    <cellStyle name="Normal" xfId="0" builtinId="0"/>
    <cellStyle name="Percent" xfId="1" builtinId="5"/>
  </cellStyles>
  <dxfs count="32"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m/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8FD0A83-AFF5-4FBB-BB2D-E909B3F88B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A9E8B2-06A2-432B-BB01-043CD5C44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E8F44C-234E-4350-A1A1-3B5EE7AA93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852687-505F-4BEC-A275-2A80E906EA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7C2D70-92B4-44A9-8987-13B42DC99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7D692D-FF16-4D47-881E-BCCC5B0A1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36F4A6-7399-4C62-B820-4F0E1EA790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44C333-2066-40B7-A509-1C3CEA77C0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88CD07-36EA-4E66-9901-EF8E3A150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05BD97-AFCC-4B4F-AFA6-A671FD3F26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EFC175-B249-4DCC-90D7-0E42DC7C44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22FB80-B4A2-46F0-822B-FCFBEBEDE2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ED648C-C306-4D60-8724-6EFB221FFE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3435</xdr:colOff>
      <xdr:row>1</xdr:row>
      <xdr:rowOff>40824</xdr:rowOff>
    </xdr:from>
    <xdr:to>
      <xdr:col>9</xdr:col>
      <xdr:colOff>1412995</xdr:colOff>
      <xdr:row>3</xdr:row>
      <xdr:rowOff>161381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EC171D-579E-4CD4-ABD3-E7C7E5838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5350" y="227514"/>
          <a:ext cx="1409560" cy="4863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CompileFullReport"/>
      <definedName name="CompileSubReports"/>
      <definedName name="CreateNewSheet"/>
      <definedName name="ExportAllTrades"/>
    </definedNames>
    <sheetDataSet>
      <sheetData sheetId="0"/>
      <sheetData sheetId="1"/>
      <sheetData sheetId="2"/>
      <sheetData sheetId="3">
        <row r="5">
          <cell r="E5" t="str">
            <v>NO</v>
          </cell>
        </row>
        <row r="7">
          <cell r="E7">
            <v>43066</v>
          </cell>
        </row>
      </sheetData>
      <sheetData sheetId="4">
        <row r="6">
          <cell r="D6" t="str">
            <v>Herriman High 2</v>
          </cell>
        </row>
        <row r="7">
          <cell r="D7" t="str">
            <v>W1027</v>
          </cell>
        </row>
        <row r="8">
          <cell r="D8">
            <v>43521</v>
          </cell>
        </row>
        <row r="78">
          <cell r="F78" t="str">
            <v>Sample Trade</v>
          </cell>
          <cell r="G78" t="str">
            <v>XYZ Corp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31"/>
    <tableColumn id="2" xr3:uid="{BA47FC0A-4539-4347-8F64-2016E045C96A}" uniqueName="2" name="Description" queryTableFieldId="2" dataDxfId="30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29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28" dataCellStyle="Input"/>
    <tableColumn id="2" xr3:uid="{498B4F4D-675D-4DD7-9D82-9EB31250D6D5}" name="Name 2" dataCellStyle="Input"/>
    <tableColumn id="3" xr3:uid="{0288AD8A-4CF7-4A2B-99B3-AE7EF70354EC}" name="Description" dataDxfId="27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26" dataCellStyle="Input"/>
    <tableColumn id="5" xr3:uid="{7118FEE9-F494-487A-801B-2AA726B6FFC1}" name="Finish Date" dataDxfId="25" dataCellStyle="Input"/>
    <tableColumn id="6" xr3:uid="{B6959521-DB5F-43A3-87AC-531264378323}" name="Total" dataDxfId="24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23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22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1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20">
      <calculatedColumnFormula>SUM($R$10:R10)</calculatedColumnFormula>
    </tableColumn>
    <tableColumn id="5" xr3:uid="{5C79CEA8-DC0A-4C98-84FE-BA46E2D9A7B1}" name="Accumulated Actual" dataDxfId="19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29D2E6-59B9-4EF8-91BA-B027579FD75B}" name="Index_Table" displayName="Index_Table" ref="B11:J78" totalsRowShown="0" headerRowDxfId="18" dataDxfId="17" headerRowBorderDxfId="15" tableBorderDxfId="16">
  <autoFilter ref="B11:J78" xr:uid="{3851B18D-AD15-4149-A2C3-35ACED1FBA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EC3945-09ED-42BF-82A1-BE10C1857163}" name="Phase" dataDxfId="14"/>
    <tableColumn id="2" xr3:uid="{1AF8119A-29D2-4393-9C60-35B33DC0B496}" name="Reported" dataDxfId="13"/>
    <tableColumn id="3" xr3:uid="{D8133BBA-CEF1-4567-A91B-CB2187946AF8}" name="Phase Description" dataDxfId="12"/>
    <tableColumn id="4" xr3:uid="{0478C302-B9C8-4C1C-834F-7CB55CC31F3C}" name="Trade ID" dataDxfId="11">
      <calculatedColumnFormula>HYPERLINK("#0000!A1", "0000")</calculatedColumnFormula>
    </tableColumn>
    <tableColumn id="5" xr3:uid="{022D199A-3249-4FF7-B9E8-ADE800077A00}" name="Trade" dataDxfId="10"/>
    <tableColumn id="6" xr3:uid="{01574D3B-1083-4D91-830F-D5068D5D368A}" name="Sub Contractor" dataDxfId="9"/>
    <tableColumn id="7" xr3:uid="{B18A2BD4-3826-421D-9A91-4E0AC2D56719}" name="Plan %" dataDxfId="8">
      <calculatedColumnFormula>IF($E12="","",INDIRECT("'"&amp;$E12&amp;"'!N$5"))</calculatedColumnFormula>
    </tableColumn>
    <tableColumn id="8" xr3:uid="{B4467ED7-AA1E-4C95-B675-4C7C13E3CB4C}" name="Actual %" dataDxfId="7">
      <calculatedColumnFormula>IF($E12="","", INDIRECT("'"&amp;$E12&amp;"'!O$5"))</calculatedColumnFormula>
    </tableColumn>
    <tableColumn id="9" xr3:uid="{A64C9655-C41D-43A0-B994-C0D1FEE8C695}" name="Completion Dat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4" x14ac:dyDescent="0.55000000000000004"/>
  <cols>
    <col min="1" max="1" width="6.15625" bestFit="1" customWidth="1"/>
    <col min="2" max="2" width="24.89453125" bestFit="1" customWidth="1"/>
    <col min="3" max="3" width="9.62890625" bestFit="1" customWidth="1"/>
    <col min="4" max="4" width="12" bestFit="1" customWidth="1"/>
    <col min="5" max="5" width="7.3671875" bestFit="1" customWidth="1"/>
    <col min="6" max="7" width="4.1015625" bestFit="1" customWidth="1"/>
    <col min="8" max="12" width="5.1015625" bestFit="1" customWidth="1"/>
    <col min="13" max="13" width="13.1015625" bestFit="1" customWidth="1"/>
    <col min="14" max="14" width="17.1015625" bestFit="1" customWidth="1"/>
    <col min="15" max="15" width="13.7890625" bestFit="1" customWidth="1"/>
    <col min="16" max="18" width="14.62890625" bestFit="1" customWidth="1"/>
  </cols>
  <sheetData>
    <row r="1" spans="1:1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55000000000000004">
      <c r="A2" t="s">
        <v>18</v>
      </c>
      <c r="B2" t="s">
        <v>19</v>
      </c>
    </row>
    <row r="3" spans="1:18" x14ac:dyDescent="0.55000000000000004">
      <c r="A3" t="s">
        <v>20</v>
      </c>
      <c r="B3" t="s">
        <v>19</v>
      </c>
    </row>
    <row r="4" spans="1:18" x14ac:dyDescent="0.55000000000000004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55000000000000004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55000000000000004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55000000000000004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55000000000000004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55000000000000004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55000000000000004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55000000000000004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55000000000000004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55000000000000004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55000000000000004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55000000000000004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55000000000000004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55000000000000004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55000000000000004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55000000000000004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55000000000000004">
      <c r="A20" t="s">
        <v>53</v>
      </c>
      <c r="B20" t="s">
        <v>54</v>
      </c>
      <c r="N20">
        <v>0</v>
      </c>
    </row>
    <row r="21" spans="1:17" x14ac:dyDescent="0.55000000000000004">
      <c r="A21" t="s">
        <v>55</v>
      </c>
      <c r="B21" t="s">
        <v>56</v>
      </c>
      <c r="N21">
        <v>0</v>
      </c>
    </row>
    <row r="22" spans="1:17" x14ac:dyDescent="0.55000000000000004">
      <c r="A22" t="s">
        <v>57</v>
      </c>
      <c r="B22" t="s">
        <v>58</v>
      </c>
      <c r="N22">
        <v>0</v>
      </c>
    </row>
    <row r="23" spans="1:17" x14ac:dyDescent="0.55000000000000004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55000000000000004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55000000000000004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55000000000000004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55000000000000004">
      <c r="A27" t="s">
        <v>67</v>
      </c>
      <c r="B27" t="s">
        <v>68</v>
      </c>
      <c r="N27">
        <v>0</v>
      </c>
    </row>
    <row r="28" spans="1:17" x14ac:dyDescent="0.55000000000000004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55000000000000004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55000000000000004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55000000000000004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55000000000000004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55000000000000004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55000000000000004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55000000000000004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55000000000000004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55000000000000004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55000000000000004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55000000000000004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55000000000000004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55000000000000004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55000000000000004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55000000000000004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55000000000000004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55000000000000004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55000000000000004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55000000000000004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55000000000000004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55000000000000004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55000000000000004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55000000000000004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55000000000000004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55000000000000004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55000000000000004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55000000000000004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55000000000000004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55000000000000004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55000000000000004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55000000000000004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55000000000000004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55000000000000004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55000000000000004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55000000000000004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55000000000000004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55000000000000004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55000000000000004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55000000000000004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55000000000000004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55000000000000004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55000000000000004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55000000000000004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55000000000000004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55000000000000004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55000000000000004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55000000000000004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55000000000000004">
      <c r="A76" t="s">
        <v>165</v>
      </c>
      <c r="B76" t="s">
        <v>70</v>
      </c>
      <c r="N76">
        <v>0</v>
      </c>
    </row>
    <row r="77" spans="1:15" x14ac:dyDescent="0.55000000000000004">
      <c r="A77" t="s">
        <v>166</v>
      </c>
      <c r="B77" t="s">
        <v>72</v>
      </c>
      <c r="N77">
        <v>0</v>
      </c>
    </row>
    <row r="78" spans="1:15" x14ac:dyDescent="0.55000000000000004">
      <c r="A78" t="s">
        <v>167</v>
      </c>
      <c r="B78" t="s">
        <v>74</v>
      </c>
      <c r="N78">
        <v>0</v>
      </c>
    </row>
    <row r="79" spans="1:15" x14ac:dyDescent="0.55000000000000004">
      <c r="A79" t="s">
        <v>168</v>
      </c>
      <c r="B79" t="s">
        <v>76</v>
      </c>
      <c r="N79">
        <v>0</v>
      </c>
    </row>
    <row r="80" spans="1:15" x14ac:dyDescent="0.55000000000000004">
      <c r="A80" t="s">
        <v>169</v>
      </c>
      <c r="B80" t="s">
        <v>78</v>
      </c>
      <c r="N80">
        <v>0</v>
      </c>
    </row>
    <row r="81" spans="1:18" x14ac:dyDescent="0.55000000000000004">
      <c r="A81" t="s">
        <v>170</v>
      </c>
      <c r="B81" t="s">
        <v>80</v>
      </c>
      <c r="N81">
        <v>0</v>
      </c>
    </row>
    <row r="82" spans="1:18" x14ac:dyDescent="0.55000000000000004">
      <c r="A82" t="s">
        <v>171</v>
      </c>
      <c r="B82" t="s">
        <v>82</v>
      </c>
      <c r="N82">
        <v>0</v>
      </c>
    </row>
    <row r="83" spans="1:18" x14ac:dyDescent="0.55000000000000004">
      <c r="A83" t="s">
        <v>172</v>
      </c>
      <c r="B83" t="s">
        <v>84</v>
      </c>
      <c r="N83">
        <v>0</v>
      </c>
    </row>
    <row r="84" spans="1:18" x14ac:dyDescent="0.55000000000000004">
      <c r="A84" t="s">
        <v>173</v>
      </c>
      <c r="B84" t="s">
        <v>86</v>
      </c>
      <c r="N84">
        <v>0</v>
      </c>
    </row>
    <row r="85" spans="1:18" x14ac:dyDescent="0.55000000000000004">
      <c r="A85" t="s">
        <v>174</v>
      </c>
      <c r="B85" t="s">
        <v>88</v>
      </c>
      <c r="N85">
        <v>0</v>
      </c>
    </row>
    <row r="86" spans="1:18" x14ac:dyDescent="0.55000000000000004">
      <c r="A86" t="s">
        <v>175</v>
      </c>
      <c r="B86" t="s">
        <v>90</v>
      </c>
      <c r="N86">
        <v>0</v>
      </c>
    </row>
    <row r="87" spans="1:18" x14ac:dyDescent="0.55000000000000004">
      <c r="A87" t="s">
        <v>176</v>
      </c>
      <c r="B87" t="s">
        <v>92</v>
      </c>
      <c r="N87">
        <v>0</v>
      </c>
    </row>
    <row r="88" spans="1:18" x14ac:dyDescent="0.55000000000000004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55000000000000004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55000000000000004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55000000000000004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55000000000000004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55000000000000004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55000000000000004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55000000000000004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55000000000000004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55000000000000004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55000000000000004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55000000000000004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zoomScale="85" zoomScaleNormal="85" workbookViewId="0">
      <selection activeCell="J9" sqref="J9:M9"/>
    </sheetView>
  </sheetViews>
  <sheetFormatPr defaultColWidth="9.15625" defaultRowHeight="14.4" x14ac:dyDescent="0.55000000000000004"/>
  <cols>
    <col min="1" max="1" width="2.7890625" customWidth="1"/>
    <col min="2" max="2" width="18.26171875" customWidth="1"/>
    <col min="3" max="3" width="9.15625" customWidth="1"/>
    <col min="9" max="9" width="6.26171875" customWidth="1"/>
    <col min="12" max="13" width="9.47265625" customWidth="1"/>
    <col min="14" max="15" width="10.734375" customWidth="1"/>
    <col min="16" max="16" width="2.7890625" customWidth="1"/>
    <col min="17" max="17" width="14.7890625" customWidth="1"/>
    <col min="18" max="18" width="16" customWidth="1"/>
    <col min="19" max="19" width="19.26171875" customWidth="1"/>
    <col min="20" max="20" width="20.26171875" customWidth="1"/>
    <col min="21" max="21" width="22.15625" customWidth="1"/>
    <col min="22" max="22" width="16.734375" customWidth="1"/>
    <col min="23" max="23" width="2.7890625" customWidth="1"/>
    <col min="24" max="25" width="7.734375" bestFit="1" customWidth="1"/>
    <col min="26" max="26" width="28.15625" bestFit="1" customWidth="1"/>
    <col min="27" max="27" width="5.15625" customWidth="1"/>
    <col min="28" max="28" width="14.47265625" bestFit="1" customWidth="1"/>
    <col min="29" max="29" width="15.15625" customWidth="1"/>
    <col min="30" max="31" width="10.5234375" customWidth="1"/>
    <col min="32" max="32" width="8.26171875" customWidth="1"/>
  </cols>
  <sheetData>
    <row r="1" spans="2:32" ht="15" customHeight="1" thickBot="1" x14ac:dyDescent="0.6">
      <c r="X1" s="35" t="s">
        <v>201</v>
      </c>
      <c r="Y1" s="35"/>
      <c r="Z1" s="36" t="s">
        <v>201</v>
      </c>
    </row>
    <row r="2" spans="2:32" ht="15" customHeight="1" x14ac:dyDescent="0.55000000000000004">
      <c r="B2" s="37" t="str">
        <f>_xlfn.CONCAT("PROGRESS REPORT WEEK OF ", TEXT(R3,"mm/dd/yyyy"))</f>
        <v>PROGRESS REPORT WEEK OF 02/25/2019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9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43"/>
      <c r="U2" s="43"/>
      <c r="V2" s="43"/>
      <c r="X2" s="35"/>
      <c r="Y2" s="35"/>
      <c r="Z2" s="36"/>
    </row>
    <row r="3" spans="2:32" ht="15" customHeight="1" x14ac:dyDescent="0.55000000000000004">
      <c r="B3" s="40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2"/>
      <c r="Q3" s="1" t="s">
        <v>204</v>
      </c>
      <c r="R3" s="3">
        <f>[1]Index!$D$8</f>
        <v>43521</v>
      </c>
      <c r="S3" s="1" t="s">
        <v>205</v>
      </c>
      <c r="T3" s="43"/>
      <c r="U3" s="43"/>
      <c r="V3" s="43"/>
      <c r="X3" s="35"/>
      <c r="Y3" s="35"/>
      <c r="Z3" s="36"/>
    </row>
    <row r="4" spans="2:32" ht="15.3" x14ac:dyDescent="0.55000000000000004">
      <c r="B4" s="4" t="s">
        <v>206</v>
      </c>
      <c r="C4" s="44" t="str">
        <f>[1]Index!$D$6</f>
        <v>Herriman High 2</v>
      </c>
      <c r="D4" s="44"/>
      <c r="E4" s="44"/>
      <c r="F4" s="44"/>
      <c r="G4" s="44"/>
      <c r="H4" s="44"/>
      <c r="I4" s="44"/>
      <c r="J4" s="45" t="s">
        <v>1</v>
      </c>
      <c r="K4" s="45"/>
      <c r="L4" s="45"/>
      <c r="M4" s="45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#N/A</v>
      </c>
      <c r="X4" s="35"/>
      <c r="Y4" s="35"/>
      <c r="Z4" s="36"/>
    </row>
    <row r="5" spans="2:32" ht="15.3" x14ac:dyDescent="0.55000000000000004">
      <c r="B5" s="4" t="s">
        <v>212</v>
      </c>
      <c r="C5" s="44" t="str">
        <f>[1]Index!$D$7</f>
        <v>W1027</v>
      </c>
      <c r="D5" s="44"/>
      <c r="E5" s="44"/>
      <c r="F5" s="44"/>
      <c r="G5" s="44"/>
      <c r="H5" s="44"/>
      <c r="I5" s="44"/>
      <c r="J5" s="34" t="s">
        <v>213</v>
      </c>
      <c r="K5" s="34"/>
      <c r="L5" s="34"/>
      <c r="M5" s="34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#N/A</v>
      </c>
      <c r="X5" s="46"/>
      <c r="Y5" s="46"/>
      <c r="Z5" s="36"/>
    </row>
    <row r="6" spans="2:32" ht="15.3" x14ac:dyDescent="0.55000000000000004">
      <c r="B6" s="4" t="s">
        <v>217</v>
      </c>
      <c r="C6" s="44" t="str">
        <f>[1]Index!G78</f>
        <v>XYZ Corp</v>
      </c>
      <c r="D6" s="44"/>
      <c r="E6" s="44"/>
      <c r="F6" s="44"/>
      <c r="G6" s="44"/>
      <c r="H6" s="44"/>
      <c r="I6" s="44"/>
      <c r="J6" s="34" t="str">
        <f>_xlfn.CONCAT("Overall Totals (", IF(ISBLANK($R$6),"",$R$6), ")")</f>
        <v>Overall Totals ()</v>
      </c>
      <c r="K6" s="34"/>
      <c r="L6" s="34"/>
      <c r="M6" s="34"/>
      <c r="N6" s="9">
        <f ca="1">$T$4</f>
        <v>1300</v>
      </c>
      <c r="O6" s="10" t="e">
        <f ca="1">$V$4</f>
        <v>#N/A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46"/>
      <c r="Y6" s="46"/>
      <c r="Z6" s="36"/>
    </row>
    <row r="7" spans="2:32" ht="15.3" x14ac:dyDescent="0.55000000000000004">
      <c r="B7" s="4" t="s">
        <v>221</v>
      </c>
      <c r="C7" s="44" t="str">
        <f>[1]Index!F78</f>
        <v>Sample Trade</v>
      </c>
      <c r="D7" s="44"/>
      <c r="E7" s="44"/>
      <c r="F7" s="44"/>
      <c r="G7" s="44"/>
      <c r="H7" s="44"/>
      <c r="I7" s="44"/>
      <c r="J7" s="34" t="str">
        <f>_xlfn.CONCAT("Overall Completed Totals (", IF(ISBLANK($R$6),"",$R$6), ")")</f>
        <v>Overall Completed Totals ()</v>
      </c>
      <c r="K7" s="34"/>
      <c r="L7" s="34"/>
      <c r="M7" s="34"/>
      <c r="N7" s="9">
        <f>$T$16</f>
        <v>700</v>
      </c>
      <c r="O7" s="10" t="e">
        <f>$U$16</f>
        <v>#N/A</v>
      </c>
      <c r="Q7" s="1" t="s">
        <v>222</v>
      </c>
      <c r="R7" s="11" t="str">
        <f>CountSaturdays</f>
        <v>NO</v>
      </c>
      <c r="S7" s="13" t="s">
        <v>223</v>
      </c>
      <c r="T7" s="14">
        <f>Default_Run_Date</f>
        <v>43066</v>
      </c>
      <c r="V7" s="15"/>
      <c r="X7" s="46"/>
      <c r="Y7" s="46"/>
      <c r="Z7" s="36"/>
    </row>
    <row r="8" spans="2:32" ht="15.3" x14ac:dyDescent="0.55000000000000004">
      <c r="B8" s="16"/>
      <c r="C8" s="17"/>
      <c r="D8" s="17"/>
      <c r="E8" s="17"/>
      <c r="F8" s="17"/>
      <c r="G8" s="17"/>
      <c r="H8" s="17"/>
      <c r="I8" s="17"/>
      <c r="J8" s="34" t="str">
        <f>_xlfn.CONCAT("This Week's Production (", IF(ISBLANK($R$6),"",$R$6), ")")</f>
        <v>This Week's Production ()</v>
      </c>
      <c r="K8" s="34"/>
      <c r="L8" s="34"/>
      <c r="M8" s="34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3" x14ac:dyDescent="0.55000000000000004">
      <c r="B9" s="16"/>
      <c r="C9" s="17"/>
      <c r="D9" s="17"/>
      <c r="E9" s="17"/>
      <c r="F9" s="17"/>
      <c r="G9" s="17"/>
      <c r="H9" s="17"/>
      <c r="I9" s="17"/>
      <c r="J9" s="34" t="str">
        <f>_xlfn.CONCAT("Weekly Average (", IF(ISBLANK($R$6),"",$R$6), ")")</f>
        <v>Weekly Average ()</v>
      </c>
      <c r="K9" s="34"/>
      <c r="L9" s="34"/>
      <c r="M9" s="34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#N/A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9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0" spans="2:32" ht="15.3" x14ac:dyDescent="0.55000000000000004">
      <c r="B10" s="16"/>
      <c r="C10" s="17"/>
      <c r="D10" s="17"/>
      <c r="E10" s="17"/>
      <c r="F10" s="17"/>
      <c r="G10" s="17"/>
      <c r="H10" s="17"/>
      <c r="I10" s="17"/>
      <c r="J10" s="34" t="str">
        <f>_xlfn.CONCAT("Average Past 4 Weeks (", IF(ISBLANK($R$6),"",$R$6), ")")</f>
        <v>Average Past 4 Weeks ()</v>
      </c>
      <c r="K10" s="34"/>
      <c r="L10" s="34"/>
      <c r="M10" s="34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#N/A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0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1" spans="2:32" ht="15.3" x14ac:dyDescent="0.55000000000000004">
      <c r="B11" s="16"/>
      <c r="C11" s="17"/>
      <c r="D11" s="17"/>
      <c r="E11" s="17"/>
      <c r="F11" s="17"/>
      <c r="G11" s="17"/>
      <c r="H11" s="17"/>
      <c r="I11" s="17"/>
      <c r="J11" s="34" t="str">
        <f>_xlfn.CONCAT("On Schedule Average (", IF(ISBLANK($R$6),"",$R$6), ")")</f>
        <v>On Schedule Average ()</v>
      </c>
      <c r="K11" s="34"/>
      <c r="L11" s="34"/>
      <c r="M11" s="34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#N/A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1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2" spans="2:32" ht="15.3" x14ac:dyDescent="0.55000000000000004">
      <c r="B12" s="16"/>
      <c r="C12" s="17"/>
      <c r="D12" s="17"/>
      <c r="E12" s="17"/>
      <c r="F12" s="17"/>
      <c r="G12" s="17"/>
      <c r="H12" s="17"/>
      <c r="I12" s="17"/>
      <c r="J12" s="51" t="s">
        <v>238</v>
      </c>
      <c r="K12" s="51"/>
      <c r="L12" s="51"/>
      <c r="M12" s="51"/>
      <c r="N12" s="52">
        <f ca="1">$R$5</f>
        <v>0</v>
      </c>
      <c r="O12" s="53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#N/A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2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3" spans="2:32" ht="15.3" x14ac:dyDescent="0.55000000000000004">
      <c r="B13" s="16"/>
      <c r="C13" s="17"/>
      <c r="D13" s="17"/>
      <c r="E13" s="17"/>
      <c r="F13" s="17"/>
      <c r="G13" s="17"/>
      <c r="H13" s="17"/>
      <c r="I13" s="17"/>
      <c r="J13" s="51" t="s">
        <v>239</v>
      </c>
      <c r="K13" s="51"/>
      <c r="L13" s="51"/>
      <c r="M13" s="51"/>
      <c r="N13" s="52" t="e">
        <f ca="1">$R$3+ROUNDUP(($T$4-$T$5)/($O$10/IF($R$7="NO", 5,6)),0)+(TRUNC(ROUNDUP(($T$4-$T$5)/($O$10/IF($R$7="NO", 5,6)),0)/7)*IF($R$7="NO",2,1))</f>
        <v>#N/A</v>
      </c>
      <c r="O13" s="54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#N/A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3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4" spans="2:32" ht="15.75" customHeight="1" x14ac:dyDescent="0.55000000000000004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47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11/27/2017.</v>
      </c>
      <c r="M14" s="47"/>
      <c r="N14" s="47"/>
      <c r="O14" s="48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#N/A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4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5" spans="2:32" ht="16.5" customHeight="1" thickBot="1" x14ac:dyDescent="0.6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49"/>
      <c r="M15" s="49"/>
      <c r="N15" s="49"/>
      <c r="O15" s="50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3" x14ac:dyDescent="0.55000000000000004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3" x14ac:dyDescent="0.55000000000000004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3" x14ac:dyDescent="0.55000000000000004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3" x14ac:dyDescent="0.55000000000000004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3" x14ac:dyDescent="0.55000000000000004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3" x14ac:dyDescent="0.55000000000000004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3" x14ac:dyDescent="0.55000000000000004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3" x14ac:dyDescent="0.55000000000000004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3" x14ac:dyDescent="0.55000000000000004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3" x14ac:dyDescent="0.55000000000000004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3" x14ac:dyDescent="0.55000000000000004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3" x14ac:dyDescent="0.55000000000000004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3" x14ac:dyDescent="0.55000000000000004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3" x14ac:dyDescent="0.55000000000000004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3" x14ac:dyDescent="0.55000000000000004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3" x14ac:dyDescent="0.55000000000000004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3" x14ac:dyDescent="0.55000000000000004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3" x14ac:dyDescent="0.55000000000000004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3" x14ac:dyDescent="0.55000000000000004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3" x14ac:dyDescent="0.55000000000000004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3" x14ac:dyDescent="0.55000000000000004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3" x14ac:dyDescent="0.55000000000000004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3" x14ac:dyDescent="0.55000000000000004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3" x14ac:dyDescent="0.55000000000000004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5.6" thickBot="1" x14ac:dyDescent="0.6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55000000000000004"/>
    <row r="80" ht="21" customHeight="1" x14ac:dyDescent="0.55000000000000004"/>
  </sheetData>
  <mergeCells count="23">
    <mergeCell ref="L14:O15"/>
    <mergeCell ref="J10:M10"/>
    <mergeCell ref="J11:M11"/>
    <mergeCell ref="J12:M12"/>
    <mergeCell ref="N12:O12"/>
    <mergeCell ref="J13:M13"/>
    <mergeCell ref="N13:O13"/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</mergeCells>
  <conditionalFormatting sqref="T4 V4">
    <cfRule type="expression" dxfId="5" priority="5">
      <formula>$V$4&lt;&gt;$T$4</formula>
    </cfRule>
  </conditionalFormatting>
  <conditionalFormatting sqref="V5 T5">
    <cfRule type="expression" dxfId="4" priority="4">
      <formula>$T$5&lt;&gt;$V$5</formula>
    </cfRule>
  </conditionalFormatting>
  <conditionalFormatting sqref="U10:U22">
    <cfRule type="containsErrors" dxfId="3" priority="3">
      <formula>ISERROR(U10)</formula>
    </cfRule>
  </conditionalFormatting>
  <conditionalFormatting sqref="X1:Y4">
    <cfRule type="expression" dxfId="2" priority="2">
      <formula>$T$4&lt;&gt;$V$4</formula>
    </cfRule>
  </conditionalFormatting>
  <conditionalFormatting sqref="Z1:Z7">
    <cfRule type="expression" dxfId="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ADABE-AD46-49E5-9810-792CAA06DA30}">
  <sheetPr codeName="Sheet1">
    <tabColor theme="4" tint="0.39997558519241921"/>
    <pageSetUpPr fitToPage="1"/>
  </sheetPr>
  <dimension ref="B1:J78"/>
  <sheetViews>
    <sheetView showGridLines="0" tabSelected="1" zoomScale="70" zoomScaleNormal="70" workbookViewId="0">
      <selection activeCell="O13" sqref="O13"/>
    </sheetView>
  </sheetViews>
  <sheetFormatPr defaultRowHeight="14.4" x14ac:dyDescent="0.55000000000000004"/>
  <cols>
    <col min="1" max="1" width="2.7890625" customWidth="1"/>
    <col min="2" max="2" width="10.734375" customWidth="1"/>
    <col min="3" max="3" width="12.7890625" customWidth="1"/>
    <col min="4" max="4" width="36.5234375" customWidth="1"/>
    <col min="5" max="5" width="10.26171875" customWidth="1"/>
    <col min="6" max="6" width="26.15625" bestFit="1" customWidth="1"/>
    <col min="7" max="7" width="34.15625" customWidth="1"/>
    <col min="8" max="8" width="12" customWidth="1"/>
    <col min="9" max="9" width="13.5234375" customWidth="1"/>
    <col min="10" max="10" width="22" customWidth="1"/>
    <col min="11" max="11" width="3.734375" customWidth="1"/>
  </cols>
  <sheetData>
    <row r="1" spans="2:10" ht="14.7" thickBot="1" x14ac:dyDescent="0.6"/>
    <row r="2" spans="2:10" x14ac:dyDescent="0.55000000000000004">
      <c r="B2" s="55" t="str">
        <f>_xlfn.CONCAT("PROGRESS REPORT WEEK OF ", TEXT(D8,"mm/dd/yyyy"))</f>
        <v>PROGRESS REPORT WEEK OF 02/25/2019</v>
      </c>
      <c r="C2" s="56"/>
      <c r="D2" s="56"/>
      <c r="E2" s="56"/>
      <c r="F2" s="56"/>
      <c r="G2" s="56"/>
      <c r="H2" s="56"/>
      <c r="I2" s="56"/>
      <c r="J2" s="57"/>
    </row>
    <row r="3" spans="2:10" x14ac:dyDescent="0.55000000000000004">
      <c r="B3" s="58"/>
      <c r="C3" s="59"/>
      <c r="D3" s="59"/>
      <c r="E3" s="59"/>
      <c r="F3" s="59"/>
      <c r="G3" s="59"/>
      <c r="H3" s="59"/>
      <c r="I3" s="59"/>
      <c r="J3" s="60"/>
    </row>
    <row r="4" spans="2:10" ht="14.7" thickBot="1" x14ac:dyDescent="0.6">
      <c r="B4" s="61"/>
      <c r="C4" s="62"/>
      <c r="D4" s="62"/>
      <c r="E4" s="62"/>
      <c r="F4" s="62"/>
      <c r="G4" s="62"/>
      <c r="H4" s="62"/>
      <c r="I4" s="62"/>
      <c r="J4" s="63"/>
    </row>
    <row r="5" spans="2:10" ht="15" customHeight="1" x14ac:dyDescent="0.55000000000000004">
      <c r="B5" s="64"/>
      <c r="C5" s="65"/>
      <c r="D5" s="65"/>
      <c r="E5" s="65"/>
      <c r="F5" s="65"/>
      <c r="G5" s="65"/>
      <c r="H5" s="65"/>
      <c r="I5" s="65"/>
      <c r="J5" s="66"/>
    </row>
    <row r="6" spans="2:10" ht="20.25" customHeight="1" x14ac:dyDescent="0.55000000000000004">
      <c r="B6" s="67" t="s">
        <v>241</v>
      </c>
      <c r="C6" s="68"/>
      <c r="D6" s="69" t="s">
        <v>242</v>
      </c>
      <c r="E6" s="69"/>
      <c r="F6" s="69"/>
      <c r="G6" s="70" t="s">
        <v>243</v>
      </c>
      <c r="H6" s="71" t="s">
        <v>244</v>
      </c>
      <c r="I6" s="71"/>
      <c r="J6" s="72"/>
    </row>
    <row r="7" spans="2:10" ht="20.25" customHeight="1" x14ac:dyDescent="0.55000000000000004">
      <c r="B7" s="67" t="s">
        <v>212</v>
      </c>
      <c r="C7" s="68"/>
      <c r="D7" s="69" t="s">
        <v>245</v>
      </c>
      <c r="E7" s="69"/>
      <c r="F7" s="69"/>
      <c r="G7" s="70" t="s">
        <v>246</v>
      </c>
      <c r="H7" s="71" t="s">
        <v>247</v>
      </c>
      <c r="I7" s="71"/>
      <c r="J7" s="72"/>
    </row>
    <row r="8" spans="2:10" ht="20.25" customHeight="1" x14ac:dyDescent="0.55000000000000004">
      <c r="B8" s="67" t="s">
        <v>248</v>
      </c>
      <c r="C8" s="68"/>
      <c r="D8" s="73">
        <v>43521</v>
      </c>
      <c r="E8" s="73"/>
      <c r="F8" s="73"/>
      <c r="G8" s="74" t="s">
        <v>249</v>
      </c>
      <c r="H8" s="71" t="s">
        <v>250</v>
      </c>
      <c r="I8" s="71"/>
      <c r="J8" s="72"/>
    </row>
    <row r="9" spans="2:10" ht="15" customHeight="1" x14ac:dyDescent="0.7">
      <c r="B9" s="75"/>
      <c r="C9" s="76"/>
      <c r="D9" s="76"/>
      <c r="E9" s="77"/>
      <c r="F9" s="77"/>
      <c r="G9" s="77"/>
      <c r="H9" s="78"/>
      <c r="I9" s="78"/>
      <c r="J9" s="79"/>
    </row>
    <row r="10" spans="2:10" ht="15" customHeight="1" x14ac:dyDescent="0.55000000000000004">
      <c r="B10" s="80"/>
      <c r="C10" s="81"/>
      <c r="D10" s="81"/>
      <c r="E10" s="81"/>
      <c r="F10" s="81"/>
      <c r="G10" s="81"/>
      <c r="H10" s="82"/>
      <c r="I10" s="81"/>
      <c r="J10" s="83"/>
    </row>
    <row r="11" spans="2:10" ht="15.6" thickBot="1" x14ac:dyDescent="0.6">
      <c r="B11" s="84" t="s">
        <v>251</v>
      </c>
      <c r="C11" s="85" t="s">
        <v>252</v>
      </c>
      <c r="D11" s="86" t="s">
        <v>253</v>
      </c>
      <c r="E11" s="87" t="s">
        <v>254</v>
      </c>
      <c r="F11" s="88" t="s">
        <v>255</v>
      </c>
      <c r="G11" s="88" t="s">
        <v>256</v>
      </c>
      <c r="H11" s="89" t="s">
        <v>257</v>
      </c>
      <c r="I11" s="90" t="s">
        <v>258</v>
      </c>
      <c r="J11" s="91" t="s">
        <v>259</v>
      </c>
    </row>
    <row r="12" spans="2:10" ht="15.3" x14ac:dyDescent="0.55000000000000004">
      <c r="B12" s="92" t="s">
        <v>260</v>
      </c>
      <c r="C12" s="93"/>
      <c r="D12" s="94" t="s">
        <v>261</v>
      </c>
      <c r="E12" s="95"/>
      <c r="F12" s="96"/>
      <c r="G12" s="96"/>
      <c r="H12" s="97" t="str">
        <f t="shared" ref="H12:H75" ca="1" si="0">IF($E12="","",INDIRECT("'"&amp;$E12&amp;"'!N$5"))</f>
        <v/>
      </c>
      <c r="I12" s="97" t="str">
        <f t="shared" ref="I12:I75" ca="1" si="1">IF($E12="","", INDIRECT("'"&amp;$E12&amp;"'!O$5"))</f>
        <v/>
      </c>
      <c r="J12" s="98"/>
    </row>
    <row r="13" spans="2:10" ht="15.3" x14ac:dyDescent="0.55000000000000004">
      <c r="B13" s="92"/>
      <c r="C13" s="93"/>
      <c r="D13" s="94"/>
      <c r="E13" s="95"/>
      <c r="F13" s="96"/>
      <c r="G13" s="99"/>
      <c r="H13" s="97" t="str">
        <f t="shared" ca="1" si="0"/>
        <v/>
      </c>
      <c r="I13" s="97" t="str">
        <f t="shared" ca="1" si="1"/>
        <v/>
      </c>
      <c r="J13" s="98"/>
    </row>
    <row r="14" spans="2:10" ht="15.3" x14ac:dyDescent="0.55000000000000004">
      <c r="B14" s="92"/>
      <c r="C14" s="93"/>
      <c r="D14" s="94"/>
      <c r="E14" s="95"/>
      <c r="F14" s="96"/>
      <c r="G14" s="99"/>
      <c r="H14" s="97" t="str">
        <f t="shared" ca="1" si="0"/>
        <v/>
      </c>
      <c r="I14" s="97" t="str">
        <f t="shared" ca="1" si="1"/>
        <v/>
      </c>
      <c r="J14" s="98"/>
    </row>
    <row r="15" spans="2:10" ht="15.3" x14ac:dyDescent="0.55000000000000004">
      <c r="B15" s="92"/>
      <c r="C15" s="93"/>
      <c r="D15" s="94"/>
      <c r="E15" s="95"/>
      <c r="F15" s="96"/>
      <c r="G15" s="99"/>
      <c r="H15" s="97" t="str">
        <f t="shared" ca="1" si="0"/>
        <v/>
      </c>
      <c r="I15" s="97" t="str">
        <f t="shared" ca="1" si="1"/>
        <v/>
      </c>
      <c r="J15" s="98"/>
    </row>
    <row r="16" spans="2:10" ht="15.3" x14ac:dyDescent="0.55000000000000004">
      <c r="B16" s="92"/>
      <c r="C16" s="93"/>
      <c r="D16" s="94"/>
      <c r="E16" s="95"/>
      <c r="F16" s="96"/>
      <c r="G16" s="99"/>
      <c r="H16" s="97" t="str">
        <f t="shared" ca="1" si="0"/>
        <v/>
      </c>
      <c r="I16" s="97" t="str">
        <f t="shared" ca="1" si="1"/>
        <v/>
      </c>
      <c r="J16" s="98"/>
    </row>
    <row r="17" spans="2:10" ht="15.3" x14ac:dyDescent="0.55000000000000004">
      <c r="B17" s="92"/>
      <c r="C17" s="93"/>
      <c r="D17" s="94"/>
      <c r="E17" s="95"/>
      <c r="F17" s="96"/>
      <c r="G17" s="99"/>
      <c r="H17" s="97" t="str">
        <f t="shared" ca="1" si="0"/>
        <v/>
      </c>
      <c r="I17" s="97" t="str">
        <f t="shared" ca="1" si="1"/>
        <v/>
      </c>
      <c r="J17" s="98"/>
    </row>
    <row r="18" spans="2:10" ht="15.3" x14ac:dyDescent="0.55000000000000004">
      <c r="B18" s="92" t="s">
        <v>262</v>
      </c>
      <c r="C18" s="93"/>
      <c r="D18" s="94" t="s">
        <v>263</v>
      </c>
      <c r="E18" s="95"/>
      <c r="F18" s="96"/>
      <c r="G18" s="96"/>
      <c r="H18" s="97" t="str">
        <f t="shared" ca="1" si="0"/>
        <v/>
      </c>
      <c r="I18" s="97" t="str">
        <f t="shared" ca="1" si="1"/>
        <v/>
      </c>
      <c r="J18" s="98"/>
    </row>
    <row r="19" spans="2:10" ht="15.3" x14ac:dyDescent="0.55000000000000004">
      <c r="B19" s="92"/>
      <c r="C19" s="93"/>
      <c r="D19" s="94"/>
      <c r="E19" s="95"/>
      <c r="F19" s="96"/>
      <c r="G19" s="96"/>
      <c r="H19" s="97" t="str">
        <f t="shared" ca="1" si="0"/>
        <v/>
      </c>
      <c r="I19" s="97" t="str">
        <f t="shared" ca="1" si="1"/>
        <v/>
      </c>
      <c r="J19" s="98"/>
    </row>
    <row r="20" spans="2:10" ht="15.3" x14ac:dyDescent="0.55000000000000004">
      <c r="B20" s="92"/>
      <c r="C20" s="93"/>
      <c r="D20" s="94"/>
      <c r="E20" s="95"/>
      <c r="F20" s="96"/>
      <c r="G20" s="96"/>
      <c r="H20" s="97" t="str">
        <f t="shared" ca="1" si="0"/>
        <v/>
      </c>
      <c r="I20" s="97" t="str">
        <f t="shared" ca="1" si="1"/>
        <v/>
      </c>
      <c r="J20" s="98"/>
    </row>
    <row r="21" spans="2:10" ht="15.3" x14ac:dyDescent="0.55000000000000004">
      <c r="B21" s="92" t="s">
        <v>264</v>
      </c>
      <c r="C21" s="93"/>
      <c r="D21" s="94" t="s">
        <v>265</v>
      </c>
      <c r="E21" s="95"/>
      <c r="F21" s="96"/>
      <c r="G21" s="96"/>
      <c r="H21" s="97" t="str">
        <f t="shared" ca="1" si="0"/>
        <v/>
      </c>
      <c r="I21" s="97" t="str">
        <f t="shared" ca="1" si="1"/>
        <v/>
      </c>
      <c r="J21" s="98"/>
    </row>
    <row r="22" spans="2:10" ht="15.3" x14ac:dyDescent="0.55000000000000004">
      <c r="B22" s="92"/>
      <c r="C22" s="93"/>
      <c r="D22" s="94"/>
      <c r="E22" s="95"/>
      <c r="F22" s="96"/>
      <c r="G22" s="96"/>
      <c r="H22" s="97" t="str">
        <f t="shared" ca="1" si="0"/>
        <v/>
      </c>
      <c r="I22" s="97" t="str">
        <f t="shared" ca="1" si="1"/>
        <v/>
      </c>
      <c r="J22" s="98"/>
    </row>
    <row r="23" spans="2:10" ht="15.3" x14ac:dyDescent="0.55000000000000004">
      <c r="B23" s="92"/>
      <c r="C23" s="93"/>
      <c r="D23" s="94"/>
      <c r="E23" s="95"/>
      <c r="F23" s="96"/>
      <c r="G23" s="96"/>
      <c r="H23" s="97" t="str">
        <f t="shared" ca="1" si="0"/>
        <v/>
      </c>
      <c r="I23" s="97" t="str">
        <f t="shared" ca="1" si="1"/>
        <v/>
      </c>
      <c r="J23" s="98"/>
    </row>
    <row r="24" spans="2:10" ht="15.3" x14ac:dyDescent="0.55000000000000004">
      <c r="B24" s="92"/>
      <c r="C24" s="93"/>
      <c r="D24" s="94"/>
      <c r="E24" s="95"/>
      <c r="F24" s="96"/>
      <c r="G24" s="96"/>
      <c r="H24" s="97" t="str">
        <f t="shared" ca="1" si="0"/>
        <v/>
      </c>
      <c r="I24" s="97" t="str">
        <f t="shared" ca="1" si="1"/>
        <v/>
      </c>
      <c r="J24" s="98"/>
    </row>
    <row r="25" spans="2:10" ht="15.3" x14ac:dyDescent="0.55000000000000004">
      <c r="B25" s="100"/>
      <c r="C25" s="101"/>
      <c r="D25" s="102"/>
      <c r="E25" s="95"/>
      <c r="F25" s="96"/>
      <c r="G25" s="96"/>
      <c r="H25" s="97" t="str">
        <f t="shared" ca="1" si="0"/>
        <v/>
      </c>
      <c r="I25" s="97" t="str">
        <f t="shared" ca="1" si="1"/>
        <v/>
      </c>
      <c r="J25" s="98"/>
    </row>
    <row r="26" spans="2:10" ht="15.3" x14ac:dyDescent="0.55000000000000004">
      <c r="B26" s="92" t="s">
        <v>266</v>
      </c>
      <c r="C26" s="93"/>
      <c r="D26" s="94" t="s">
        <v>267</v>
      </c>
      <c r="E26" s="95"/>
      <c r="F26" s="96"/>
      <c r="G26" s="96"/>
      <c r="H26" s="97" t="str">
        <f t="shared" ca="1" si="0"/>
        <v/>
      </c>
      <c r="I26" s="97" t="str">
        <f t="shared" ca="1" si="1"/>
        <v/>
      </c>
      <c r="J26" s="98"/>
    </row>
    <row r="27" spans="2:10" ht="15.3" x14ac:dyDescent="0.55000000000000004">
      <c r="B27" s="100"/>
      <c r="C27" s="101"/>
      <c r="D27" s="102"/>
      <c r="E27" s="95"/>
      <c r="F27" s="96"/>
      <c r="G27" s="96"/>
      <c r="H27" s="97" t="str">
        <f t="shared" ca="1" si="0"/>
        <v/>
      </c>
      <c r="I27" s="97" t="str">
        <f t="shared" ca="1" si="1"/>
        <v/>
      </c>
      <c r="J27" s="98"/>
    </row>
    <row r="28" spans="2:10" ht="15.3" x14ac:dyDescent="0.55000000000000004">
      <c r="B28" s="92" t="s">
        <v>268</v>
      </c>
      <c r="C28" s="93"/>
      <c r="D28" s="94" t="s">
        <v>269</v>
      </c>
      <c r="E28" s="95"/>
      <c r="F28" s="96"/>
      <c r="G28" s="96"/>
      <c r="H28" s="97" t="str">
        <f t="shared" ca="1" si="0"/>
        <v/>
      </c>
      <c r="I28" s="97" t="str">
        <f t="shared" ca="1" si="1"/>
        <v/>
      </c>
      <c r="J28" s="98"/>
    </row>
    <row r="29" spans="2:10" ht="15.3" x14ac:dyDescent="0.55000000000000004">
      <c r="B29" s="92"/>
      <c r="C29" s="93"/>
      <c r="D29" s="94"/>
      <c r="E29" s="95"/>
      <c r="F29" s="96"/>
      <c r="G29" s="96"/>
      <c r="H29" s="97" t="str">
        <f t="shared" ca="1" si="0"/>
        <v/>
      </c>
      <c r="I29" s="97" t="str">
        <f t="shared" ca="1" si="1"/>
        <v/>
      </c>
      <c r="J29" s="98"/>
    </row>
    <row r="30" spans="2:10" ht="15.3" x14ac:dyDescent="0.55000000000000004">
      <c r="B30" s="92"/>
      <c r="C30" s="93"/>
      <c r="D30" s="94"/>
      <c r="E30" s="95"/>
      <c r="F30" s="96"/>
      <c r="G30" s="96"/>
      <c r="H30" s="97"/>
      <c r="I30" s="97"/>
      <c r="J30" s="98"/>
    </row>
    <row r="31" spans="2:10" ht="15.3" x14ac:dyDescent="0.55000000000000004">
      <c r="B31" s="92"/>
      <c r="C31" s="93"/>
      <c r="D31" s="94"/>
      <c r="E31" s="95"/>
      <c r="F31" s="96"/>
      <c r="G31" s="96"/>
      <c r="H31" s="97"/>
      <c r="I31" s="97"/>
      <c r="J31" s="98"/>
    </row>
    <row r="32" spans="2:10" ht="15.3" x14ac:dyDescent="0.55000000000000004">
      <c r="B32" s="92" t="s">
        <v>270</v>
      </c>
      <c r="C32" s="93" t="s">
        <v>271</v>
      </c>
      <c r="D32" s="94" t="s">
        <v>272</v>
      </c>
      <c r="E32" s="103"/>
      <c r="F32" s="96"/>
      <c r="G32" s="96"/>
      <c r="H32" s="97"/>
      <c r="I32" s="97"/>
      <c r="J32" s="98"/>
    </row>
    <row r="33" spans="2:10" ht="15.3" x14ac:dyDescent="0.55000000000000004">
      <c r="B33" s="92"/>
      <c r="C33" s="93"/>
      <c r="D33" s="94"/>
      <c r="E33" s="95"/>
      <c r="F33" s="96"/>
      <c r="G33" s="96"/>
      <c r="H33" s="97"/>
      <c r="I33" s="97"/>
      <c r="J33" s="98"/>
    </row>
    <row r="34" spans="2:10" ht="15.3" x14ac:dyDescent="0.55000000000000004">
      <c r="B34" s="92"/>
      <c r="C34" s="93"/>
      <c r="D34" s="94"/>
      <c r="E34" s="95"/>
      <c r="F34" s="96"/>
      <c r="G34" s="96"/>
      <c r="H34" s="97"/>
      <c r="I34" s="97"/>
      <c r="J34" s="98"/>
    </row>
    <row r="35" spans="2:10" ht="15.3" x14ac:dyDescent="0.55000000000000004">
      <c r="B35" s="92"/>
      <c r="C35" s="93"/>
      <c r="D35" s="94"/>
      <c r="E35" s="104"/>
      <c r="F35" s="96"/>
      <c r="G35" s="96"/>
      <c r="H35" s="97"/>
      <c r="I35" s="97"/>
      <c r="J35" s="98"/>
    </row>
    <row r="36" spans="2:10" ht="15.3" x14ac:dyDescent="0.55000000000000004">
      <c r="B36" s="92"/>
      <c r="C36" s="93"/>
      <c r="D36" s="94"/>
      <c r="E36" s="104"/>
      <c r="F36" s="96"/>
      <c r="G36" s="96"/>
      <c r="H36" s="97"/>
      <c r="I36" s="97"/>
      <c r="J36" s="98"/>
    </row>
    <row r="37" spans="2:10" ht="15.3" x14ac:dyDescent="0.55000000000000004">
      <c r="B37" s="92"/>
      <c r="C37" s="93"/>
      <c r="D37" s="94"/>
      <c r="E37" s="104"/>
      <c r="F37" s="96"/>
      <c r="G37" s="96"/>
      <c r="H37" s="97"/>
      <c r="I37" s="97"/>
      <c r="J37" s="98"/>
    </row>
    <row r="38" spans="2:10" ht="15.3" x14ac:dyDescent="0.55000000000000004">
      <c r="B38" s="92" t="s">
        <v>273</v>
      </c>
      <c r="C38" s="93" t="s">
        <v>274</v>
      </c>
      <c r="D38" s="94" t="s">
        <v>275</v>
      </c>
      <c r="E38" s="105"/>
      <c r="F38" s="96"/>
      <c r="G38" s="96"/>
      <c r="H38" s="97"/>
      <c r="I38" s="97"/>
      <c r="J38" s="98"/>
    </row>
    <row r="39" spans="2:10" ht="15.3" x14ac:dyDescent="0.55000000000000004">
      <c r="B39" s="92"/>
      <c r="C39" s="93" t="s">
        <v>271</v>
      </c>
      <c r="D39" s="94"/>
      <c r="E39" s="105"/>
      <c r="F39" s="96"/>
      <c r="G39" s="96"/>
      <c r="H39" s="97"/>
      <c r="I39" s="97"/>
      <c r="J39" s="98"/>
    </row>
    <row r="40" spans="2:10" ht="15.3" x14ac:dyDescent="0.55000000000000004">
      <c r="B40" s="92"/>
      <c r="C40" s="93"/>
      <c r="D40" s="94"/>
      <c r="E40" s="104"/>
      <c r="F40" s="96"/>
      <c r="G40" s="96"/>
      <c r="H40" s="97"/>
      <c r="I40" s="97"/>
      <c r="J40" s="98"/>
    </row>
    <row r="41" spans="2:10" ht="15.3" x14ac:dyDescent="0.55000000000000004">
      <c r="B41" s="92"/>
      <c r="C41" s="93"/>
      <c r="D41" s="94"/>
      <c r="E41" s="104"/>
      <c r="F41" s="96"/>
      <c r="G41" s="96"/>
      <c r="H41" s="97"/>
      <c r="I41" s="97"/>
      <c r="J41" s="98"/>
    </row>
    <row r="42" spans="2:10" ht="15.3" x14ac:dyDescent="0.55000000000000004">
      <c r="B42" s="92"/>
      <c r="C42" s="93"/>
      <c r="D42" s="94"/>
      <c r="E42" s="104"/>
      <c r="F42" s="96"/>
      <c r="G42" s="96"/>
      <c r="H42" s="97"/>
      <c r="I42" s="97"/>
      <c r="J42" s="98"/>
    </row>
    <row r="43" spans="2:10" ht="15.3" x14ac:dyDescent="0.55000000000000004">
      <c r="B43" s="92"/>
      <c r="C43" s="93"/>
      <c r="D43" s="94"/>
      <c r="E43" s="104"/>
      <c r="F43" s="96"/>
      <c r="G43" s="96"/>
      <c r="H43" s="97"/>
      <c r="I43" s="97"/>
      <c r="J43" s="98"/>
    </row>
    <row r="44" spans="2:10" ht="15.3" x14ac:dyDescent="0.55000000000000004">
      <c r="B44" s="92"/>
      <c r="C44" s="93"/>
      <c r="D44" s="94"/>
      <c r="E44" s="104"/>
      <c r="F44" s="96"/>
      <c r="G44" s="96"/>
      <c r="H44" s="97"/>
      <c r="I44" s="97"/>
      <c r="J44" s="98"/>
    </row>
    <row r="45" spans="2:10" ht="15.3" x14ac:dyDescent="0.55000000000000004">
      <c r="B45" s="92"/>
      <c r="C45" s="93"/>
      <c r="D45" s="94"/>
      <c r="E45" s="106"/>
      <c r="F45" s="96"/>
      <c r="G45" s="96"/>
      <c r="H45" s="97"/>
      <c r="I45" s="97"/>
      <c r="J45" s="98"/>
    </row>
    <row r="46" spans="2:10" ht="15.3" x14ac:dyDescent="0.55000000000000004">
      <c r="B46" s="92"/>
      <c r="C46" s="93"/>
      <c r="D46" s="94"/>
      <c r="E46" s="104"/>
      <c r="F46" s="96"/>
      <c r="G46" s="96"/>
      <c r="H46" s="97"/>
      <c r="I46" s="97"/>
      <c r="J46" s="98"/>
    </row>
    <row r="47" spans="2:10" ht="15.3" x14ac:dyDescent="0.55000000000000004">
      <c r="B47" s="92"/>
      <c r="C47" s="93"/>
      <c r="D47" s="94"/>
      <c r="E47" s="104"/>
      <c r="F47" s="96"/>
      <c r="G47" s="96"/>
      <c r="H47" s="97"/>
      <c r="I47" s="97"/>
      <c r="J47" s="98"/>
    </row>
    <row r="48" spans="2:10" ht="15.3" x14ac:dyDescent="0.55000000000000004">
      <c r="B48" s="107">
        <v>10</v>
      </c>
      <c r="C48" s="108"/>
      <c r="D48" s="94" t="s">
        <v>276</v>
      </c>
      <c r="E48" s="95"/>
      <c r="F48" s="96"/>
      <c r="G48" s="96"/>
      <c r="H48" s="97" t="str">
        <f t="shared" ca="1" si="0"/>
        <v/>
      </c>
      <c r="I48" s="97" t="str">
        <f t="shared" ca="1" si="1"/>
        <v/>
      </c>
      <c r="J48" s="98"/>
    </row>
    <row r="49" spans="2:10" ht="15.3" x14ac:dyDescent="0.55000000000000004">
      <c r="B49" s="107"/>
      <c r="C49" s="108"/>
      <c r="D49" s="94"/>
      <c r="E49" s="95"/>
      <c r="F49" s="96"/>
      <c r="G49" s="96"/>
      <c r="H49" s="97" t="str">
        <f t="shared" ca="1" si="0"/>
        <v/>
      </c>
      <c r="I49" s="97" t="str">
        <f t="shared" ca="1" si="1"/>
        <v/>
      </c>
      <c r="J49" s="98"/>
    </row>
    <row r="50" spans="2:10" ht="15.3" x14ac:dyDescent="0.55000000000000004">
      <c r="B50" s="107"/>
      <c r="C50" s="108"/>
      <c r="D50" s="94"/>
      <c r="E50" s="95"/>
      <c r="F50" s="96"/>
      <c r="G50" s="96"/>
      <c r="H50" s="97" t="str">
        <f t="shared" ca="1" si="0"/>
        <v/>
      </c>
      <c r="I50" s="97" t="str">
        <f t="shared" ca="1" si="1"/>
        <v/>
      </c>
      <c r="J50" s="98"/>
    </row>
    <row r="51" spans="2:10" ht="15.3" x14ac:dyDescent="0.55000000000000004">
      <c r="B51" s="107"/>
      <c r="C51" s="108"/>
      <c r="D51" s="94"/>
      <c r="E51" s="95"/>
      <c r="F51" s="96"/>
      <c r="G51" s="96"/>
      <c r="H51" s="97" t="str">
        <f t="shared" ca="1" si="0"/>
        <v/>
      </c>
      <c r="I51" s="97" t="str">
        <f t="shared" ca="1" si="1"/>
        <v/>
      </c>
      <c r="J51" s="98"/>
    </row>
    <row r="52" spans="2:10" ht="15.3" x14ac:dyDescent="0.55000000000000004">
      <c r="B52" s="107"/>
      <c r="C52" s="108"/>
      <c r="D52" s="94"/>
      <c r="E52" s="95"/>
      <c r="F52" s="96"/>
      <c r="G52" s="96"/>
      <c r="H52" s="97" t="str">
        <f t="shared" ca="1" si="0"/>
        <v/>
      </c>
      <c r="I52" s="97" t="str">
        <f t="shared" ca="1" si="1"/>
        <v/>
      </c>
      <c r="J52" s="98"/>
    </row>
    <row r="53" spans="2:10" ht="15.3" x14ac:dyDescent="0.55000000000000004">
      <c r="B53" s="107"/>
      <c r="C53" s="108"/>
      <c r="D53" s="94"/>
      <c r="E53" s="95"/>
      <c r="F53" s="96"/>
      <c r="G53" s="96"/>
      <c r="H53" s="97" t="str">
        <f t="shared" ca="1" si="0"/>
        <v/>
      </c>
      <c r="I53" s="97" t="str">
        <f t="shared" ca="1" si="1"/>
        <v/>
      </c>
      <c r="J53" s="98"/>
    </row>
    <row r="54" spans="2:10" ht="15.3" x14ac:dyDescent="0.55000000000000004">
      <c r="B54" s="107"/>
      <c r="C54" s="108"/>
      <c r="D54" s="94"/>
      <c r="E54" s="95"/>
      <c r="F54" s="96"/>
      <c r="G54" s="96"/>
      <c r="H54" s="97" t="str">
        <f t="shared" ca="1" si="0"/>
        <v/>
      </c>
      <c r="I54" s="97" t="str">
        <f t="shared" ca="1" si="1"/>
        <v/>
      </c>
      <c r="J54" s="98"/>
    </row>
    <row r="55" spans="2:10" ht="15.3" x14ac:dyDescent="0.55000000000000004">
      <c r="B55" s="107">
        <v>11</v>
      </c>
      <c r="C55" s="108"/>
      <c r="D55" s="94" t="s">
        <v>277</v>
      </c>
      <c r="E55" s="95"/>
      <c r="F55" s="96"/>
      <c r="G55" s="96"/>
      <c r="H55" s="97" t="str">
        <f t="shared" ca="1" si="0"/>
        <v/>
      </c>
      <c r="I55" s="97" t="str">
        <f t="shared" ca="1" si="1"/>
        <v/>
      </c>
      <c r="J55" s="98"/>
    </row>
    <row r="56" spans="2:10" ht="15.3" x14ac:dyDescent="0.55000000000000004">
      <c r="B56" s="107"/>
      <c r="C56" s="108"/>
      <c r="D56" s="94"/>
      <c r="E56" s="95"/>
      <c r="F56" s="96"/>
      <c r="G56" s="96"/>
      <c r="H56" s="97" t="str">
        <f t="shared" ca="1" si="0"/>
        <v/>
      </c>
      <c r="I56" s="97" t="str">
        <f t="shared" ca="1" si="1"/>
        <v/>
      </c>
      <c r="J56" s="98"/>
    </row>
    <row r="57" spans="2:10" ht="15.3" x14ac:dyDescent="0.55000000000000004">
      <c r="B57" s="107"/>
      <c r="C57" s="108"/>
      <c r="D57" s="94"/>
      <c r="E57" s="95"/>
      <c r="F57" s="96"/>
      <c r="G57" s="96"/>
      <c r="H57" s="97" t="str">
        <f t="shared" ca="1" si="0"/>
        <v/>
      </c>
      <c r="I57" s="97" t="str">
        <f t="shared" ca="1" si="1"/>
        <v/>
      </c>
      <c r="J57" s="98"/>
    </row>
    <row r="58" spans="2:10" ht="15.3" x14ac:dyDescent="0.55000000000000004">
      <c r="B58" s="107">
        <v>12</v>
      </c>
      <c r="C58" s="108"/>
      <c r="D58" s="94" t="s">
        <v>278</v>
      </c>
      <c r="E58" s="95"/>
      <c r="F58" s="96"/>
      <c r="G58" s="96"/>
      <c r="H58" s="97" t="str">
        <f t="shared" ca="1" si="0"/>
        <v/>
      </c>
      <c r="I58" s="97" t="str">
        <f t="shared" ca="1" si="1"/>
        <v/>
      </c>
      <c r="J58" s="98"/>
    </row>
    <row r="59" spans="2:10" ht="15.3" x14ac:dyDescent="0.55000000000000004">
      <c r="B59" s="107">
        <v>13</v>
      </c>
      <c r="C59" s="108"/>
      <c r="D59" s="94" t="s">
        <v>279</v>
      </c>
      <c r="E59" s="95"/>
      <c r="F59" s="96"/>
      <c r="G59" s="96"/>
      <c r="H59" s="97" t="str">
        <f t="shared" ca="1" si="0"/>
        <v/>
      </c>
      <c r="I59" s="97" t="str">
        <f t="shared" ca="1" si="1"/>
        <v/>
      </c>
      <c r="J59" s="98"/>
    </row>
    <row r="60" spans="2:10" ht="15.3" x14ac:dyDescent="0.55000000000000004">
      <c r="B60" s="107">
        <v>22</v>
      </c>
      <c r="C60" s="108"/>
      <c r="D60" s="94" t="s">
        <v>280</v>
      </c>
      <c r="E60" s="95"/>
      <c r="F60" s="96"/>
      <c r="G60" s="96"/>
      <c r="H60" s="97" t="str">
        <f t="shared" ca="1" si="0"/>
        <v/>
      </c>
      <c r="I60" s="97" t="str">
        <f t="shared" ca="1" si="1"/>
        <v/>
      </c>
      <c r="J60" s="98"/>
    </row>
    <row r="61" spans="2:10" ht="15.3" x14ac:dyDescent="0.55000000000000004">
      <c r="B61" s="107"/>
      <c r="C61" s="108"/>
      <c r="D61" s="94"/>
      <c r="E61" s="95"/>
      <c r="F61" s="96"/>
      <c r="G61" s="96"/>
      <c r="H61" s="97" t="str">
        <f t="shared" ca="1" si="0"/>
        <v/>
      </c>
      <c r="I61" s="97" t="str">
        <f t="shared" ca="1" si="1"/>
        <v/>
      </c>
      <c r="J61" s="98"/>
    </row>
    <row r="62" spans="2:10" ht="15.3" x14ac:dyDescent="0.55000000000000004">
      <c r="B62" s="107"/>
      <c r="C62" s="108"/>
      <c r="D62" s="94"/>
      <c r="E62" s="95"/>
      <c r="F62" s="96"/>
      <c r="G62" s="96"/>
      <c r="H62" s="97" t="str">
        <f t="shared" ca="1" si="0"/>
        <v/>
      </c>
      <c r="I62" s="97" t="str">
        <f t="shared" ca="1" si="1"/>
        <v/>
      </c>
      <c r="J62" s="98"/>
    </row>
    <row r="63" spans="2:10" ht="15.3" x14ac:dyDescent="0.55000000000000004">
      <c r="B63" s="107"/>
      <c r="C63" s="108"/>
      <c r="D63" s="94"/>
      <c r="E63" s="95"/>
      <c r="F63" s="96"/>
      <c r="G63" s="96"/>
      <c r="H63" s="97" t="str">
        <f t="shared" ca="1" si="0"/>
        <v/>
      </c>
      <c r="I63" s="97" t="str">
        <f t="shared" ca="1" si="1"/>
        <v/>
      </c>
      <c r="J63" s="98"/>
    </row>
    <row r="64" spans="2:10" ht="15.3" x14ac:dyDescent="0.55000000000000004">
      <c r="B64" s="107">
        <v>23</v>
      </c>
      <c r="C64" s="108"/>
      <c r="D64" s="94" t="s">
        <v>281</v>
      </c>
      <c r="E64" s="95"/>
      <c r="F64" s="96"/>
      <c r="G64" s="96"/>
      <c r="H64" s="97" t="str">
        <f t="shared" ca="1" si="0"/>
        <v/>
      </c>
      <c r="I64" s="97" t="str">
        <f t="shared" ca="1" si="1"/>
        <v/>
      </c>
      <c r="J64" s="98"/>
    </row>
    <row r="65" spans="2:10" ht="15.3" x14ac:dyDescent="0.55000000000000004">
      <c r="B65" s="107"/>
      <c r="C65" s="108"/>
      <c r="D65" s="94"/>
      <c r="E65" s="95"/>
      <c r="F65" s="96"/>
      <c r="G65" s="96"/>
      <c r="H65" s="97" t="str">
        <f t="shared" ca="1" si="0"/>
        <v/>
      </c>
      <c r="I65" s="97" t="str">
        <f t="shared" ca="1" si="1"/>
        <v/>
      </c>
      <c r="J65" s="98"/>
    </row>
    <row r="66" spans="2:10" ht="15.3" x14ac:dyDescent="0.55000000000000004">
      <c r="B66" s="107"/>
      <c r="C66" s="108"/>
      <c r="D66" s="94"/>
      <c r="E66" s="95"/>
      <c r="F66" s="96"/>
      <c r="G66" s="96"/>
      <c r="H66" s="97" t="str">
        <f t="shared" ca="1" si="0"/>
        <v/>
      </c>
      <c r="I66" s="97" t="str">
        <f t="shared" ca="1" si="1"/>
        <v/>
      </c>
      <c r="J66" s="98"/>
    </row>
    <row r="67" spans="2:10" ht="15.3" x14ac:dyDescent="0.55000000000000004">
      <c r="B67" s="107">
        <v>25</v>
      </c>
      <c r="C67" s="108"/>
      <c r="D67" s="94" t="s">
        <v>282</v>
      </c>
      <c r="E67" s="95"/>
      <c r="F67" s="96"/>
      <c r="G67" s="96"/>
      <c r="H67" s="97" t="str">
        <f t="shared" ca="1" si="0"/>
        <v/>
      </c>
      <c r="I67" s="97" t="str">
        <f t="shared" ca="1" si="1"/>
        <v/>
      </c>
      <c r="J67" s="98"/>
    </row>
    <row r="68" spans="2:10" ht="15.3" x14ac:dyDescent="0.55000000000000004">
      <c r="B68" s="107">
        <v>26</v>
      </c>
      <c r="C68" s="108"/>
      <c r="D68" s="94" t="s">
        <v>283</v>
      </c>
      <c r="E68" s="95"/>
      <c r="F68" s="96"/>
      <c r="G68" s="96"/>
      <c r="H68" s="97" t="str">
        <f t="shared" ca="1" si="0"/>
        <v/>
      </c>
      <c r="I68" s="97" t="str">
        <f t="shared" ca="1" si="1"/>
        <v/>
      </c>
      <c r="J68" s="98"/>
    </row>
    <row r="69" spans="2:10" ht="15.3" x14ac:dyDescent="0.55000000000000004">
      <c r="B69" s="107"/>
      <c r="C69" s="108"/>
      <c r="D69" s="94"/>
      <c r="E69" s="95"/>
      <c r="F69" s="96"/>
      <c r="G69" s="96"/>
      <c r="H69" s="97" t="str">
        <f t="shared" ca="1" si="0"/>
        <v/>
      </c>
      <c r="I69" s="97" t="str">
        <f t="shared" ca="1" si="1"/>
        <v/>
      </c>
      <c r="J69" s="98"/>
    </row>
    <row r="70" spans="2:10" ht="15.3" x14ac:dyDescent="0.55000000000000004">
      <c r="B70" s="107"/>
      <c r="C70" s="108"/>
      <c r="D70" s="94"/>
      <c r="E70" s="95"/>
      <c r="F70" s="96"/>
      <c r="G70" s="96"/>
      <c r="H70" s="97" t="str">
        <f t="shared" ca="1" si="0"/>
        <v/>
      </c>
      <c r="I70" s="97" t="str">
        <f t="shared" ca="1" si="1"/>
        <v/>
      </c>
      <c r="J70" s="98"/>
    </row>
    <row r="71" spans="2:10" ht="15.3" x14ac:dyDescent="0.55000000000000004">
      <c r="B71" s="107"/>
      <c r="C71" s="108"/>
      <c r="D71" s="94"/>
      <c r="E71" s="95"/>
      <c r="F71" s="96"/>
      <c r="G71" s="96"/>
      <c r="H71" s="97" t="str">
        <f t="shared" ca="1" si="0"/>
        <v/>
      </c>
      <c r="I71" s="97" t="str">
        <f t="shared" ca="1" si="1"/>
        <v/>
      </c>
      <c r="J71" s="98"/>
    </row>
    <row r="72" spans="2:10" ht="15.3" x14ac:dyDescent="0.55000000000000004">
      <c r="B72" s="107">
        <v>27</v>
      </c>
      <c r="C72" s="109"/>
      <c r="D72" s="94" t="s">
        <v>284</v>
      </c>
      <c r="E72" s="104"/>
      <c r="F72" s="96"/>
      <c r="G72" s="96"/>
      <c r="H72" s="110" t="str">
        <f t="shared" ca="1" si="0"/>
        <v/>
      </c>
      <c r="I72" s="110" t="str">
        <f t="shared" ca="1" si="1"/>
        <v/>
      </c>
      <c r="J72" s="98"/>
    </row>
    <row r="73" spans="2:10" ht="15.3" x14ac:dyDescent="0.55000000000000004">
      <c r="B73" s="107">
        <v>28</v>
      </c>
      <c r="C73" s="109"/>
      <c r="D73" s="94" t="s">
        <v>285</v>
      </c>
      <c r="E73" s="104"/>
      <c r="F73" s="96"/>
      <c r="G73" s="96"/>
      <c r="H73" s="110" t="str">
        <f t="shared" ca="1" si="0"/>
        <v/>
      </c>
      <c r="I73" s="110" t="str">
        <f t="shared" ca="1" si="1"/>
        <v/>
      </c>
      <c r="J73" s="98"/>
    </row>
    <row r="74" spans="2:10" ht="15.3" x14ac:dyDescent="0.55000000000000004">
      <c r="B74" s="107">
        <v>31</v>
      </c>
      <c r="C74" s="109"/>
      <c r="D74" s="94" t="s">
        <v>286</v>
      </c>
      <c r="E74" s="104"/>
      <c r="F74" s="96"/>
      <c r="G74" s="96"/>
      <c r="H74" s="110" t="str">
        <f t="shared" ca="1" si="0"/>
        <v/>
      </c>
      <c r="I74" s="110" t="str">
        <f t="shared" ca="1" si="1"/>
        <v/>
      </c>
      <c r="J74" s="98"/>
    </row>
    <row r="75" spans="2:10" ht="15.3" x14ac:dyDescent="0.55000000000000004">
      <c r="B75" s="107"/>
      <c r="C75" s="109"/>
      <c r="D75" s="94"/>
      <c r="E75" s="104"/>
      <c r="F75" s="96"/>
      <c r="G75" s="96"/>
      <c r="H75" s="110" t="str">
        <f t="shared" ca="1" si="0"/>
        <v/>
      </c>
      <c r="I75" s="110" t="str">
        <f t="shared" ca="1" si="1"/>
        <v/>
      </c>
      <c r="J75" s="98"/>
    </row>
    <row r="76" spans="2:10" ht="15.3" x14ac:dyDescent="0.55000000000000004">
      <c r="B76" s="107">
        <v>32</v>
      </c>
      <c r="C76" s="109"/>
      <c r="D76" s="94" t="s">
        <v>287</v>
      </c>
      <c r="E76" s="104"/>
      <c r="F76" s="96"/>
      <c r="G76" s="96"/>
      <c r="H76" s="110" t="str">
        <f t="shared" ref="H76" ca="1" si="2">IF($E76="","",INDIRECT("'"&amp;$E76&amp;"'!N$5"))</f>
        <v/>
      </c>
      <c r="I76" s="110" t="str">
        <f t="shared" ref="I76" ca="1" si="3">IF($E76="","", INDIRECT("'"&amp;$E76&amp;"'!O$5"))</f>
        <v/>
      </c>
      <c r="J76" s="98"/>
    </row>
    <row r="77" spans="2:10" ht="15.3" x14ac:dyDescent="0.55000000000000004">
      <c r="B77" s="107" t="s">
        <v>288</v>
      </c>
      <c r="C77" s="109"/>
      <c r="D77" s="94" t="s">
        <v>289</v>
      </c>
      <c r="E77" s="106"/>
      <c r="F77" s="96"/>
      <c r="G77" s="96"/>
      <c r="H77" s="110" t="str">
        <f ca="1">IF($E77="","",INDIRECT("'"&amp;$E77&amp;"'!N$5"))</f>
        <v/>
      </c>
      <c r="I77" s="110" t="str">
        <f ca="1">IF($E77="","", INDIRECT("'"&amp;$E77&amp;"'!O$5"))</f>
        <v/>
      </c>
      <c r="J77" s="98"/>
    </row>
    <row r="78" spans="2:10" ht="15.6" thickBot="1" x14ac:dyDescent="0.6">
      <c r="B78" s="111" t="s">
        <v>290</v>
      </c>
      <c r="C78" s="112" t="s">
        <v>274</v>
      </c>
      <c r="D78" s="113" t="s">
        <v>291</v>
      </c>
      <c r="E78" s="114" t="str">
        <f t="shared" ref="E78" si="4">HYPERLINK("#0000!A1", "0000")</f>
        <v>0000</v>
      </c>
      <c r="F78" s="115" t="s">
        <v>292</v>
      </c>
      <c r="G78" s="115" t="s">
        <v>293</v>
      </c>
      <c r="H78" s="116" t="e">
        <f ca="1">IF($E78="","",INDIRECT("'"&amp;$E78&amp;"'!N$5"))</f>
        <v>#REF!</v>
      </c>
      <c r="I78" s="116" t="e">
        <f ca="1">IF($E78="","", INDIRECT("'"&amp;$E78&amp;"'!O$5"))</f>
        <v>#REF!</v>
      </c>
      <c r="J78" s="117"/>
    </row>
  </sheetData>
  <mergeCells count="10">
    <mergeCell ref="B8:C8"/>
    <mergeCell ref="D8:F8"/>
    <mergeCell ref="H8:J8"/>
    <mergeCell ref="B2:J4"/>
    <mergeCell ref="B6:C6"/>
    <mergeCell ref="D6:F6"/>
    <mergeCell ref="H6:J6"/>
    <mergeCell ref="B7:C7"/>
    <mergeCell ref="D7:F7"/>
    <mergeCell ref="H7:J7"/>
  </mergeCells>
  <conditionalFormatting sqref="J12:J78">
    <cfRule type="notContainsBlanks" dxfId="0" priority="1">
      <formula>LEN(TRIM(J12))&gt;0</formula>
    </cfRule>
  </conditionalFormatting>
  <dataValidations count="2">
    <dataValidation type="custom" showInputMessage="1" showErrorMessage="1" promptTitle="Monday's Only" prompt="You must input the date of a Monday." sqref="D8:F8" xr:uid="{53AC06D9-ED8A-46B2-A597-0EA184061FB7}">
      <formula1>WEEKDAY($D$8)=2</formula1>
    </dataValidation>
    <dataValidation type="list" allowBlank="1" showInputMessage="1" showErrorMessage="1" sqref="C12:C78" xr:uid="{956E0D84-39B4-4302-95F8-B441856BC594}">
      <formula1>"YES, NO"</formula1>
    </dataValidation>
  </dataValidations>
  <pageMargins left="0.25" right="0.25" top="0.75" bottom="0.75" header="0.3" footer="0.3"/>
  <pageSetup scale="57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ImportQL</vt:lpstr>
      <vt:lpstr>Template</vt:lpstr>
      <vt:lpstr>Settings</vt:lpstr>
      <vt:lpstr>Index</vt:lpstr>
      <vt:lpstr>Index!Print_Area</vt:lpstr>
      <vt:lpstr>Template!Print_Area</vt:lpstr>
      <vt:lpstr>Report_Week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2020-01-21T23:29:20Z</cp:lastPrinted>
  <dcterms:created xsi:type="dcterms:W3CDTF">2019-04-09T17:53:55Z</dcterms:created>
  <dcterms:modified xsi:type="dcterms:W3CDTF">2020-01-23T17:06:53Z</dcterms:modified>
</cp:coreProperties>
</file>