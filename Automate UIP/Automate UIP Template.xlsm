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F67106C1-F587-4BA7-AB2D-36E45981B298}" xr6:coauthVersionLast="44" xr6:coauthVersionMax="44" xr10:uidLastSave="{00000000-0000-0000-0000-000000000000}"/>
  <bookViews>
    <workbookView xWindow="22944" yWindow="-210" windowWidth="23232" windowHeight="12552" activeTab="2" xr2:uid="{791B15CC-68B2-4D54-B53E-4FED7E26F6F4}"/>
  </bookViews>
  <sheets>
    <sheet name="ImportQL" sheetId="2" r:id="rId1"/>
    <sheet name="Template" sheetId="3" r:id="rId2"/>
    <sheet name="Settings" sheetId="4" r:id="rId3"/>
  </sheets>
  <functionGroups builtInGroupCount="19"/>
  <externalReferences>
    <externalReference r:id="rId4"/>
  </externalReferences>
  <definedNames>
    <definedName name="CountSaturdays">[1]Settings!$E$5</definedName>
    <definedName name="Default_Run_Date">[1]Settings!$E$7</definedName>
    <definedName name="ExternalData_1" localSheetId="0" hidden="1">ImportQL!$A$1:$R$99</definedName>
    <definedName name="_xlnm.Print_Area" localSheetId="1">Template!$B$2:$O$40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C7" i="3"/>
  <c r="J6" i="3"/>
  <c r="C6" i="3"/>
  <c r="C5" i="3"/>
  <c r="C4" i="3"/>
  <c r="R3" i="3"/>
  <c r="R2" i="3"/>
  <c r="B2" i="3"/>
  <c r="Z12" i="3"/>
  <c r="R4" i="3" l="1"/>
  <c r="Z13" i="3"/>
  <c r="Z10" i="3"/>
  <c r="AD10" i="3"/>
  <c r="T5" i="3"/>
  <c r="AE11" i="3"/>
  <c r="AD13" i="3"/>
  <c r="AE10" i="3"/>
  <c r="N11" i="3"/>
  <c r="AD12" i="3"/>
  <c r="AD14" i="3"/>
  <c r="AE12" i="3"/>
  <c r="O9" i="3"/>
  <c r="AD11" i="3"/>
  <c r="Z14" i="3"/>
  <c r="T4" i="3"/>
  <c r="N9" i="3"/>
  <c r="Z11" i="3"/>
  <c r="AD9" i="3"/>
  <c r="Z9" i="3"/>
  <c r="AE9" i="3"/>
  <c r="V5" i="3"/>
  <c r="R5" i="3"/>
  <c r="V4" i="3"/>
  <c r="AE13" i="3"/>
  <c r="AE14" i="3"/>
  <c r="AF14" i="3" l="1"/>
  <c r="AF13" i="3"/>
  <c r="O6" i="3"/>
  <c r="O5" i="3" s="1"/>
  <c r="V6" i="3" s="1"/>
  <c r="N12" i="3"/>
  <c r="O11" i="3"/>
  <c r="AF9" i="3"/>
  <c r="N6" i="3"/>
  <c r="N5" i="3" s="1"/>
  <c r="T6" i="3" s="1"/>
  <c r="AF12" i="3"/>
  <c r="AF10" i="3"/>
  <c r="AF11" i="3"/>
  <c r="Q10" i="3"/>
  <c r="Q11" i="3" s="1"/>
  <c r="Q12" i="3" s="1"/>
  <c r="Q13" i="3" s="1"/>
  <c r="Q14" i="3" s="1"/>
  <c r="Q15" i="3" s="1"/>
  <c r="Q16" i="3" s="1"/>
  <c r="Q17" i="3" l="1"/>
  <c r="Q18" i="3" l="1"/>
  <c r="Q19" i="3" l="1"/>
  <c r="Q20" i="3" l="1"/>
  <c r="Q21" i="3" l="1"/>
  <c r="Q22" i="3" l="1"/>
  <c r="O10" i="3"/>
  <c r="N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<sst xmlns="http://schemas.openxmlformats.org/spreadsheetml/2006/main" count="271" uniqueCount="242">
  <si>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</si>
  <si>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</si>
  <si>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</si>
  <si>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</si>
  <si>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</si>
  <si>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</si>
  <si>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</si>
  <si>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</si>
  <si>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</si>
  <si>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</si>
  <si>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</si>
  <si>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</si>
  <si>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</si>
  <si>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</si>
  <si>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</si>
  <si>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</si>
  <si>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</si>
  <si>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</si>
  <si>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</si>
  <si>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</si>
  <si>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</si>
  <si>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</si>
  <si>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</si>
  <si>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</si>
  <si>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</si>
  <si>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</si>
  <si>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</si>
  <si>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</si>
  <si>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</si>
  <si>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</si>
  <si>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</si>
  <si>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</si>
  <si>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</si>
  <si>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</si>
  <si>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</si>
  <si>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</si>
  <si>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</si>
  <si>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</si>
  <si>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</si>
  <si>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</si>
  <si>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</si>
  <si>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</si>
  <si>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</si>
  <si>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</si>
  <si>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</si>
  <si>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</si>
  <si>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</si>
  <si>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</si>
  <si>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</si>
  <si>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</si>
  <si>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</si>
  <si>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</si>
  <si>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</si>
  <si>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</si>
  <si>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</si>
  <si>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</si>
  <si>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</si>
  <si>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</si>
  <si>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</si>
  <si>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</si>
  <si>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</si>
  <si>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</si>
  <si>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</si>
  <si>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</si>
  <si>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</si>
  <si>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</si>
  <si>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</si>
  <si>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</si>
  <si>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</si>
  <si>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</si>
  <si>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</si>
  <si>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</si>
  <si>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</si>
  <si>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</si>
  <si>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</si>
  <si>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</si>
  <si>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</si>
  <si>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</si>
  <si>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</si>
  <si>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</si>
  <si>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</si>
  <si>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</si>
  <si>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</si>
  <si>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</si>
  <si>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</si>
  <si>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</si>
  <si>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</si>
  <si>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</si>
  <si>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</si>
  <si>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</si>
  <si>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</si>
  <si>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</si>
  <si>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</si>
  <si>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</si>
  <si>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</si>
  <si>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</si>
  <si>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</si>
  <si>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</si>
  <si>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</si>
  <si>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</si>
  <si>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</si>
  <si>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</si>
  <si>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</si>
  <si>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</si>
  <si>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</si>
  <si>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</si>
  <si>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</si>
  <si>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</si>
  <si>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</si>
  <si>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</si>
  <si>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</si>
  <si>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</si>
  <si>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</si>
  <si>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</si>
  <si>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</si>
  <si>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</si>
  <si>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</si>
  <si>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</si>
  <si>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</si>
  <si>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</si>
  <si>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</si>
  <si>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</si>
  <si>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</si>
  <si>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</si>
  <si>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</si>
  <si>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</si>
  <si>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</si>
  <si>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</si>
  <si>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</si>
  <si>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</si>
  <si>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</si>
  <si>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</si>
  <si>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</si>
  <si>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</si>
  <si>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</si>
  <si>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</si>
  <si>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</si>
  <si>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</si>
  <si>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</si>
  <si>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</si>
  <si>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</si>
  <si>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</si>
  <si>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</si>
  <si>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</si>
  <si>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</si>
  <si>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</si>
  <si>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</si>
  <si>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</si>
  <si>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</si>
  <si>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</si>
  <si>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</si>
  <si>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</si>
  <si>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</si>
  <si>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</si>
  <si>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</si>
  <si>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</si>
  <si>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</si>
  <si>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</si>
  <si>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</si>
  <si>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</si>
  <si>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</si>
  <si>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</si>
  <si>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</si>
  <si>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</si>
  <si>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</si>
  <si>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</si>
  <si>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</si>
  <si>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</si>
  <si>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</si>
  <si>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</si>
  <si>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</si>
  <si>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</si>
  <si>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</si>
  <si>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</si>
  <si>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</si>
  <si>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</si>
  <si>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</si>
  <si>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</si>
  <si>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</si>
  <si>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</si>
  <si>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</si>
  <si>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</si>
  <si>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</si>
  <si>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</si>
  <si>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</si>
  <si>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</si>
  <si>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</si>
  <si>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</si>
  <si>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</si>
  <si>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</si>
  <si>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</si>
  <si>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</si>
  <si>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</si>
  <si>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</si>
  <si>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</si>
  <si>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</si>
  <si>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</si>
  <si>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</si>
  <si>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</si>
  <si>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</si>
  <si>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</si>
  <si>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</si>
  <si>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</si>
  <si>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</si>
  <si>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>C:\Users\camron\code\uip-master\QuantityLinks\Test PDF File.pdf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</si>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</sst>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55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8" fillId="0" borderId="9" xfId="0" applyFont="1" applyBorder="1" applyAlignment="1">
      <alignment horizontal="right" vertical="center" indent="1"/>
    </xf>
    <xf numFmtId="10" fontId="9" fillId="0" borderId="10" xfId="0" applyNumberFormat="1" applyFont="1" applyBorder="1" applyAlignment="1">
      <alignment horizontal="center" vertical="center"/>
    </xf>
    <xf numFmtId="10" fontId="9" fillId="0" borderId="11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3" fontId="8" fillId="0" borderId="5" xfId="0" applyNumberFormat="1" applyFont="1" applyBorder="1" applyAlignment="1">
      <alignment horizontal="center" vertical="center"/>
    </xf>
    <xf numFmtId="3" fontId="8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8" fillId="0" borderId="9" xfId="0" applyFont="1" applyBorder="1"/>
    <xf numFmtId="0" fontId="8" fillId="0" borderId="0" xfId="0" applyFont="1"/>
    <xf numFmtId="14" fontId="0" fillId="0" borderId="0" xfId="0" applyNumberFormat="1"/>
    <xf numFmtId="1" fontId="8" fillId="0" borderId="5" xfId="0" applyNumberFormat="1" applyFont="1" applyBorder="1" applyAlignment="1">
      <alignment horizontal="center" vertical="center"/>
    </xf>
    <xf numFmtId="1" fontId="8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10" fillId="0" borderId="13" xfId="0" applyFont="1" applyBorder="1"/>
    <xf numFmtId="0" fontId="10" fillId="0" borderId="15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17" xfId="0" applyFont="1" applyBorder="1"/>
    <xf numFmtId="165" fontId="0" fillId="0" borderId="0" xfId="0" applyNumberFormat="1"/>
    <xf numFmtId="0" fontId="8" fillId="0" borderId="18" xfId="0" applyFont="1" applyBorder="1"/>
    <xf numFmtId="0" fontId="8" fillId="0" borderId="15" xfId="0" applyFont="1" applyBorder="1"/>
    <xf numFmtId="0" fontId="8" fillId="0" borderId="16" xfId="0" applyFont="1" applyBorder="1"/>
    <xf numFmtId="0" fontId="10" fillId="0" borderId="13" xfId="0" applyFont="1" applyBorder="1" applyAlignment="1">
      <alignment horizontal="right" wrapText="1" indent="1"/>
    </xf>
    <xf numFmtId="0" fontId="10" fillId="0" borderId="14" xfId="0" applyFont="1" applyBorder="1" applyAlignment="1">
      <alignment horizontal="right" wrapText="1" indent="1"/>
    </xf>
    <xf numFmtId="0" fontId="10" fillId="0" borderId="15" xfId="0" applyFont="1" applyBorder="1" applyAlignment="1">
      <alignment horizontal="right" wrapText="1" indent="1"/>
    </xf>
    <xf numFmtId="0" fontId="10" fillId="0" borderId="16" xfId="0" applyFont="1" applyBorder="1" applyAlignment="1">
      <alignment horizontal="right" wrapText="1" indent="1"/>
    </xf>
    <xf numFmtId="0" fontId="8" fillId="0" borderId="5" xfId="0" applyFont="1" applyBorder="1" applyAlignment="1">
      <alignment horizontal="right" vertical="center" indent="1"/>
    </xf>
    <xf numFmtId="0" fontId="8" fillId="0" borderId="5" xfId="0" applyFont="1" applyBorder="1" applyAlignment="1">
      <alignment horizontal="right" indent="1"/>
    </xf>
    <xf numFmtId="14" fontId="8" fillId="0" borderId="5" xfId="0" applyNumberFormat="1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14" fontId="8" fillId="0" borderId="12" xfId="0" applyNumberFormat="1" applyFont="1" applyBorder="1" applyAlignment="1">
      <alignment horizontal="center"/>
    </xf>
    <xf numFmtId="0" fontId="8" fillId="0" borderId="0" xfId="0" applyFont="1"/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2" borderId="5" xfId="2" applyBorder="1"/>
    <xf numFmtId="0" fontId="9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A89ED44-99EC-4678-8B89-80CDD31A3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BC0237-7CA6-4A71-A6BC-23CEEF465E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515C4B-AEF2-4523-A7F3-B57C60B6A5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C61B38-8010-457F-AF3A-89B4BFFCA0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205A13-7ADC-475F-ACB1-CBBFBF007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AAA158-5A13-4837-8948-50B3F25CAA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AFCAFC-43CE-46EA-8693-60F1D7C99E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AA47A5-B937-4008-8F13-FFF7EE85B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39DBFC-E6F1-4ACB-8641-FCD8893C88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858294-7DB5-4C7C-92BA-274EBB0200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B817B3-61F9-4B8C-AEC6-6FCEB63D52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6AD21C-BDFF-42EC-BE22-CDBA2296CA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14515F-B633-42F3-8AC7-95DC994A85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1</xdr:row>
          <xdr:rowOff>76200</xdr:rowOff>
        </xdr:from>
        <xdr:to>
          <xdr:col>24</xdr:col>
          <xdr:colOff>488950</xdr:colOff>
          <xdr:row>3</xdr:row>
          <xdr:rowOff>184150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4</xdr:row>
          <xdr:rowOff>38100</xdr:rowOff>
        </xdr:from>
        <xdr:to>
          <xdr:col>24</xdr:col>
          <xdr:colOff>488950</xdr:colOff>
          <xdr:row>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69850</xdr:colOff>
          <xdr:row>1</xdr:row>
          <xdr:rowOff>88900</xdr:rowOff>
        </xdr:from>
        <xdr:to>
          <xdr:col>25</xdr:col>
          <xdr:colOff>1803400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</xdr:row>
          <xdr:rowOff>76200</xdr:rowOff>
        </xdr:from>
        <xdr:to>
          <xdr:col>27</xdr:col>
          <xdr:colOff>952500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ExportActiveTrade"/>
      <definedName name="UpdateDataLinks"/>
      <definedName name="UpdateProduction"/>
      <definedName name="UpdateProductionPlan"/>
    </definedNames>
    <sheetDataSet>
      <sheetData sheetId="0"/>
      <sheetData sheetId="1"/>
      <sheetData sheetId="2"/>
      <sheetData sheetId="3">
        <row r="5">
          <cell r="E5" t="str">
            <v>NO</v>
          </cell>
        </row>
        <row r="7">
          <cell r="E7">
            <v>43066</v>
          </cell>
        </row>
      </sheetData>
      <sheetData sheetId="4">
        <row r="6">
          <cell r="D6" t="str">
            <v>Herriman High 2</v>
          </cell>
        </row>
        <row r="7">
          <cell r="D7" t="str">
            <v>W1027</v>
          </cell>
        </row>
        <row r="8">
          <cell r="D8">
            <v>43521</v>
          </cell>
        </row>
        <row r="78">
          <cell r="F78" t="str">
            <v>Sample Trade</v>
          </cell>
          <cell r="G78" t="str">
            <v>XYZ Corp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17"/>
    <tableColumn id="2" xr3:uid="{BA47FC0A-4539-4347-8F64-2016E045C96A}" uniqueName="2" name="Description" queryTableFieldId="2" dataDxfId="16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10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9" dataCellStyle="Input"/>
    <tableColumn id="2" xr3:uid="{498B4F4D-675D-4DD7-9D82-9EB31250D6D5}" name="Name 2" dataCellStyle="Input"/>
    <tableColumn id="3" xr3:uid="{0288AD8A-4CF7-4A2B-99B3-AE7EF70354EC}" name="Description" dataDxfId="8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7" dataCellStyle="Input"/>
    <tableColumn id="5" xr3:uid="{7118FEE9-F494-487A-801B-2AA726B6FFC1}" name="Finish Date" dataDxfId="6" dataCellStyle="Input"/>
    <tableColumn id="6" xr3:uid="{B6959521-DB5F-43A3-87AC-531264378323}" name="Total" dataDxfId="5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4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3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1">
      <calculatedColumnFormula>SUM($R$10:R10)</calculatedColumnFormula>
    </tableColumn>
    <tableColumn id="5" xr3:uid="{5C79CEA8-DC0A-4C98-84FE-BA46E2D9A7B1}" name="Accumulated Actual" dataDxfId="0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X28" sqref="X28"/>
    </sheetView>
  </sheetViews>
  <sheetFormatPr defaultRowHeight="14.5" x14ac:dyDescent="0.35"/>
  <cols>
    <col min="1" max="1" width="6.1796875" bestFit="1" customWidth="1"/>
    <col min="2" max="2" width="24.90625" bestFit="1" customWidth="1"/>
    <col min="3" max="3" width="9.6328125" bestFit="1" customWidth="1"/>
    <col min="4" max="4" width="12" bestFit="1" customWidth="1"/>
    <col min="5" max="5" width="7.36328125" bestFit="1" customWidth="1"/>
    <col min="6" max="7" width="4.08984375" bestFit="1" customWidth="1"/>
    <col min="8" max="12" width="5.08984375" bestFit="1" customWidth="1"/>
    <col min="13" max="13" width="13.08984375" bestFit="1" customWidth="1"/>
    <col min="14" max="14" width="17.08984375" bestFit="1" customWidth="1"/>
    <col min="15" max="15" width="13.81640625" bestFit="1" customWidth="1"/>
    <col min="16" max="18" width="14.632812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5">
      <c r="A2" t="s">
        <v>18</v>
      </c>
      <c r="B2" t="s">
        <v>19</v>
      </c>
    </row>
    <row r="3" spans="1:18" x14ac:dyDescent="0.35">
      <c r="A3" t="s">
        <v>20</v>
      </c>
      <c r="B3" t="s">
        <v>19</v>
      </c>
    </row>
    <row r="4" spans="1:18" x14ac:dyDescent="0.35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35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35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35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35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35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35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35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35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35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35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35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35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35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35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35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35">
      <c r="A20" t="s">
        <v>53</v>
      </c>
      <c r="B20" t="s">
        <v>54</v>
      </c>
      <c r="N20">
        <v>0</v>
      </c>
    </row>
    <row r="21" spans="1:17" x14ac:dyDescent="0.35">
      <c r="A21" t="s">
        <v>55</v>
      </c>
      <c r="B21" t="s">
        <v>56</v>
      </c>
      <c r="N21">
        <v>0</v>
      </c>
    </row>
    <row r="22" spans="1:17" x14ac:dyDescent="0.35">
      <c r="A22" t="s">
        <v>57</v>
      </c>
      <c r="B22" t="s">
        <v>58</v>
      </c>
      <c r="N22">
        <v>0</v>
      </c>
    </row>
    <row r="23" spans="1:17" x14ac:dyDescent="0.35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35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35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35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35">
      <c r="A27" t="s">
        <v>67</v>
      </c>
      <c r="B27" t="s">
        <v>68</v>
      </c>
      <c r="N27">
        <v>0</v>
      </c>
    </row>
    <row r="28" spans="1:17" x14ac:dyDescent="0.35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35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35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35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35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35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35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35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35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35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35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35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35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35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35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35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35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35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35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35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35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35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35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35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35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35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35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35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35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35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35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35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35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35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35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35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35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35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35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35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35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35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35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35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35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35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35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35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35">
      <c r="A76" t="s">
        <v>165</v>
      </c>
      <c r="B76" t="s">
        <v>70</v>
      </c>
      <c r="N76">
        <v>0</v>
      </c>
    </row>
    <row r="77" spans="1:15" x14ac:dyDescent="0.35">
      <c r="A77" t="s">
        <v>166</v>
      </c>
      <c r="B77" t="s">
        <v>72</v>
      </c>
      <c r="N77">
        <v>0</v>
      </c>
    </row>
    <row r="78" spans="1:15" x14ac:dyDescent="0.35">
      <c r="A78" t="s">
        <v>167</v>
      </c>
      <c r="B78" t="s">
        <v>74</v>
      </c>
      <c r="N78">
        <v>0</v>
      </c>
    </row>
    <row r="79" spans="1:15" x14ac:dyDescent="0.35">
      <c r="A79" t="s">
        <v>168</v>
      </c>
      <c r="B79" t="s">
        <v>76</v>
      </c>
      <c r="N79">
        <v>0</v>
      </c>
    </row>
    <row r="80" spans="1:15" x14ac:dyDescent="0.35">
      <c r="A80" t="s">
        <v>169</v>
      </c>
      <c r="B80" t="s">
        <v>78</v>
      </c>
      <c r="N80">
        <v>0</v>
      </c>
    </row>
    <row r="81" spans="1:18" x14ac:dyDescent="0.35">
      <c r="A81" t="s">
        <v>170</v>
      </c>
      <c r="B81" t="s">
        <v>80</v>
      </c>
      <c r="N81">
        <v>0</v>
      </c>
    </row>
    <row r="82" spans="1:18" x14ac:dyDescent="0.35">
      <c r="A82" t="s">
        <v>171</v>
      </c>
      <c r="B82" t="s">
        <v>82</v>
      </c>
      <c r="N82">
        <v>0</v>
      </c>
    </row>
    <row r="83" spans="1:18" x14ac:dyDescent="0.35">
      <c r="A83" t="s">
        <v>172</v>
      </c>
      <c r="B83" t="s">
        <v>84</v>
      </c>
      <c r="N83">
        <v>0</v>
      </c>
    </row>
    <row r="84" spans="1:18" x14ac:dyDescent="0.35">
      <c r="A84" t="s">
        <v>173</v>
      </c>
      <c r="B84" t="s">
        <v>86</v>
      </c>
      <c r="N84">
        <v>0</v>
      </c>
    </row>
    <row r="85" spans="1:18" x14ac:dyDescent="0.35">
      <c r="A85" t="s">
        <v>174</v>
      </c>
      <c r="B85" t="s">
        <v>88</v>
      </c>
      <c r="N85">
        <v>0</v>
      </c>
    </row>
    <row r="86" spans="1:18" x14ac:dyDescent="0.35">
      <c r="A86" t="s">
        <v>175</v>
      </c>
      <c r="B86" t="s">
        <v>90</v>
      </c>
      <c r="N86">
        <v>0</v>
      </c>
    </row>
    <row r="87" spans="1:18" x14ac:dyDescent="0.35">
      <c r="A87" t="s">
        <v>176</v>
      </c>
      <c r="B87" t="s">
        <v>92</v>
      </c>
      <c r="N87">
        <v>0</v>
      </c>
    </row>
    <row r="88" spans="1:18" x14ac:dyDescent="0.35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35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35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35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35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35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35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35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35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35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35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35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zoomScale="85" zoomScaleNormal="85" workbookViewId="0">
      <selection activeCell="S33" sqref="S33"/>
    </sheetView>
  </sheetViews>
  <sheetFormatPr defaultColWidth="9.1796875" defaultRowHeight="14.5" x14ac:dyDescent="0.35"/>
  <cols>
    <col min="1" max="1" width="2.81640625" customWidth="1"/>
    <col min="2" max="2" width="18.26953125" customWidth="1"/>
    <col min="3" max="3" width="9.1796875" customWidth="1"/>
    <col min="9" max="9" width="6.26953125" customWidth="1"/>
    <col min="12" max="13" width="9.453125" customWidth="1"/>
    <col min="14" max="15" width="10.7265625" customWidth="1"/>
    <col min="16" max="16" width="2.81640625" customWidth="1"/>
    <col min="17" max="17" width="14.81640625" customWidth="1"/>
    <col min="18" max="18" width="16" customWidth="1"/>
    <col min="19" max="19" width="19.26953125" customWidth="1"/>
    <col min="20" max="20" width="20.26953125" customWidth="1"/>
    <col min="21" max="21" width="22.1796875" customWidth="1"/>
    <col min="22" max="22" width="16.7265625" customWidth="1"/>
    <col min="23" max="23" width="2.81640625" customWidth="1"/>
    <col min="24" max="25" width="7.7265625" bestFit="1" customWidth="1"/>
    <col min="26" max="26" width="28.1796875" bestFit="1" customWidth="1"/>
    <col min="27" max="27" width="5.1796875" customWidth="1"/>
    <col min="28" max="28" width="14.453125" bestFit="1" customWidth="1"/>
    <col min="29" max="29" width="15.1796875" customWidth="1"/>
    <col min="30" max="31" width="10.54296875" customWidth="1"/>
    <col min="32" max="32" width="8.26953125" customWidth="1"/>
  </cols>
  <sheetData>
    <row r="1" spans="2:32" ht="15" customHeight="1" thickBot="1" x14ac:dyDescent="0.4">
      <c r="X1" s="44" t="s">
        <v>201</v>
      </c>
      <c r="Y1" s="44"/>
      <c r="Z1" s="45" t="s">
        <v>201</v>
      </c>
    </row>
    <row r="2" spans="2:32" ht="15" customHeight="1" x14ac:dyDescent="0.35">
      <c r="B2" s="46" t="str">
        <f>_xlfn.CONCAT("PROGRESS REPORT WEEK OF ", TEXT(R3,"mm/dd/yyyy"))</f>
        <v>PROGRESS REPORT WEEK OF 02/25/2019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8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52" t="s">
        <v>204</v>
      </c>
      <c r="U2" s="52"/>
      <c r="V2" s="52"/>
      <c r="X2" s="44"/>
      <c r="Y2" s="44"/>
      <c r="Z2" s="45"/>
    </row>
    <row r="3" spans="2:32" ht="15" customHeight="1" x14ac:dyDescent="0.35">
      <c r="B3" s="49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1"/>
      <c r="Q3" s="1" t="s">
        <v>205</v>
      </c>
      <c r="R3" s="3">
        <f>[1]Index!$D$8</f>
        <v>43521</v>
      </c>
      <c r="S3" s="1" t="s">
        <v>206</v>
      </c>
      <c r="T3" s="52"/>
      <c r="U3" s="52"/>
      <c r="V3" s="52"/>
      <c r="X3" s="44"/>
      <c r="Y3" s="44"/>
      <c r="Z3" s="45"/>
    </row>
    <row r="4" spans="2:32" ht="15.5" x14ac:dyDescent="0.35">
      <c r="B4" s="4" t="s">
        <v>207</v>
      </c>
      <c r="C4" s="43" t="str">
        <f>[1]Index!$D$6</f>
        <v>Herriman High 2</v>
      </c>
      <c r="D4" s="43"/>
      <c r="E4" s="43"/>
      <c r="F4" s="43"/>
      <c r="G4" s="43"/>
      <c r="H4" s="43"/>
      <c r="I4" s="43"/>
      <c r="J4" s="53" t="s">
        <v>1</v>
      </c>
      <c r="K4" s="53"/>
      <c r="L4" s="53"/>
      <c r="M4" s="53"/>
      <c r="N4" s="5" t="s">
        <v>208</v>
      </c>
      <c r="O4" s="6" t="s">
        <v>209</v>
      </c>
      <c r="Q4" s="1" t="s">
        <v>210</v>
      </c>
      <c r="R4" s="3" t="e">
        <f ca="1">MIN(INDIRECT("Input_"&amp;$R$2&amp;"[Start Date]")) - WEEKDAY(MIN(INDIRECT("Input_"&amp;$R$2&amp;"[Start Date]")) - 2)</f>
        <v>#NUM!</v>
      </c>
      <c r="S4" s="1" t="s">
        <v>211</v>
      </c>
      <c r="T4" s="2">
        <f ca="1">SUM(INDIRECT("Main_"&amp;$R$2&amp;"[Weekly Plan]"))</f>
        <v>1300</v>
      </c>
      <c r="U4" s="1" t="s">
        <v>212</v>
      </c>
      <c r="V4" s="2" t="e">
        <f ca="1">SUM(INDIRECT("Input_"&amp;$R$2&amp;"[Total]"))</f>
        <v>#N/A</v>
      </c>
      <c r="X4" s="44"/>
      <c r="Y4" s="44"/>
      <c r="Z4" s="45"/>
    </row>
    <row r="5" spans="2:32" ht="15.5" x14ac:dyDescent="0.35">
      <c r="B5" s="4" t="s">
        <v>213</v>
      </c>
      <c r="C5" s="43" t="str">
        <f>[1]Index!$D$7</f>
        <v>W1027</v>
      </c>
      <c r="D5" s="43"/>
      <c r="E5" s="43"/>
      <c r="F5" s="43"/>
      <c r="G5" s="43"/>
      <c r="H5" s="43"/>
      <c r="I5" s="43"/>
      <c r="J5" s="38" t="s">
        <v>214</v>
      </c>
      <c r="K5" s="38"/>
      <c r="L5" s="38"/>
      <c r="M5" s="38"/>
      <c r="N5" s="7">
        <f ca="1">IF(ISERROR(N7/N6), 0, N7/N6)</f>
        <v>0.53846153846153844</v>
      </c>
      <c r="O5" s="8">
        <f ca="1">IF(ISERROR(O7/O6), 0, O7/O6)</f>
        <v>0</v>
      </c>
      <c r="Q5" s="1" t="s">
        <v>215</v>
      </c>
      <c r="R5" s="3">
        <f ca="1">MAX(INDIRECT("Input_"&amp;$R$2&amp;"[Finish Date]"))</f>
        <v>0</v>
      </c>
      <c r="S5" s="1" t="s">
        <v>216</v>
      </c>
      <c r="T5" s="2">
        <f ca="1">SUM(INDIRECT("Main_"&amp;$R$2&amp;"[Weekly Actual]"))</f>
        <v>0</v>
      </c>
      <c r="U5" s="1" t="s">
        <v>217</v>
      </c>
      <c r="V5" s="2" t="e">
        <f ca="1">SUM(INDIRECT("Input_"&amp;$R$2&amp;"[Completed Total]"))</f>
        <v>#N/A</v>
      </c>
      <c r="X5" s="54"/>
      <c r="Y5" s="54"/>
      <c r="Z5" s="45"/>
    </row>
    <row r="6" spans="2:32" ht="15.5" x14ac:dyDescent="0.35">
      <c r="B6" s="4" t="s">
        <v>218</v>
      </c>
      <c r="C6" s="43" t="str">
        <f>[1]Index!G78</f>
        <v>XYZ Corp</v>
      </c>
      <c r="D6" s="43"/>
      <c r="E6" s="43"/>
      <c r="F6" s="43"/>
      <c r="G6" s="43"/>
      <c r="H6" s="43"/>
      <c r="I6" s="43"/>
      <c r="J6" s="38" t="str">
        <f>_xlfn.CONCAT("Overall Totals (", IF(ISBLANK($R$6),"",$R$6), ")")</f>
        <v>Overall Totals ()</v>
      </c>
      <c r="K6" s="38"/>
      <c r="L6" s="38"/>
      <c r="M6" s="38"/>
      <c r="N6" s="9">
        <f ca="1">$T$4</f>
        <v>1300</v>
      </c>
      <c r="O6" s="10" t="e">
        <f ca="1">$V$4</f>
        <v>#N/A</v>
      </c>
      <c r="Q6" s="1" t="s">
        <v>219</v>
      </c>
      <c r="R6" s="11"/>
      <c r="S6" s="1" t="s">
        <v>220</v>
      </c>
      <c r="T6" s="12">
        <f ca="1">1-$N$5</f>
        <v>0.46153846153846156</v>
      </c>
      <c r="U6" s="1" t="s">
        <v>221</v>
      </c>
      <c r="V6" s="12">
        <f ca="1">1-$O$5</f>
        <v>1</v>
      </c>
      <c r="X6" s="54"/>
      <c r="Y6" s="54"/>
      <c r="Z6" s="45"/>
    </row>
    <row r="7" spans="2:32" ht="15.5" x14ac:dyDescent="0.35">
      <c r="B7" s="4" t="s">
        <v>222</v>
      </c>
      <c r="C7" s="43" t="str">
        <f>[1]Index!F78</f>
        <v>Sample Trade</v>
      </c>
      <c r="D7" s="43"/>
      <c r="E7" s="43"/>
      <c r="F7" s="43"/>
      <c r="G7" s="43"/>
      <c r="H7" s="43"/>
      <c r="I7" s="43"/>
      <c r="J7" s="38" t="str">
        <f>_xlfn.CONCAT("Overall Completed Totals (", IF(ISBLANK($R$6),"",$R$6), ")")</f>
        <v>Overall Completed Totals ()</v>
      </c>
      <c r="K7" s="38"/>
      <c r="L7" s="38"/>
      <c r="M7" s="38"/>
      <c r="N7" s="9">
        <f>$T$16</f>
        <v>700</v>
      </c>
      <c r="O7" s="10" t="e">
        <f>$U$16</f>
        <v>#N/A</v>
      </c>
      <c r="Q7" s="1" t="s">
        <v>223</v>
      </c>
      <c r="R7" s="11" t="str">
        <f>CountSaturdays</f>
        <v>NO</v>
      </c>
      <c r="S7" s="13" t="s">
        <v>224</v>
      </c>
      <c r="T7" s="14">
        <f>Default_Run_Date</f>
        <v>43066</v>
      </c>
      <c r="V7" s="15"/>
      <c r="X7" s="54"/>
      <c r="Y7" s="54"/>
      <c r="Z7" s="45"/>
    </row>
    <row r="8" spans="2:32" ht="15.5" x14ac:dyDescent="0.35">
      <c r="B8" s="16"/>
      <c r="C8" s="17"/>
      <c r="D8" s="17"/>
      <c r="E8" s="17"/>
      <c r="F8" s="17"/>
      <c r="G8" s="17"/>
      <c r="H8" s="17"/>
      <c r="I8" s="17"/>
      <c r="J8" s="38" t="str">
        <f>_xlfn.CONCAT("This Week's Production (", IF(ISBLANK($R$6),"",$R$6), ")")</f>
        <v>This Week's Production ()</v>
      </c>
      <c r="K8" s="38"/>
      <c r="L8" s="38"/>
      <c r="M8" s="38"/>
      <c r="N8" s="9">
        <f>$R$16</f>
        <v>100</v>
      </c>
      <c r="O8" s="10">
        <f>$S$16</f>
        <v>0</v>
      </c>
      <c r="X8" t="s">
        <v>225</v>
      </c>
      <c r="Y8" t="s">
        <v>226</v>
      </c>
      <c r="Z8" t="s">
        <v>1</v>
      </c>
      <c r="AA8" t="s">
        <v>227</v>
      </c>
      <c r="AB8" s="18" t="s">
        <v>228</v>
      </c>
      <c r="AC8" s="18" t="s">
        <v>229</v>
      </c>
      <c r="AD8" t="s">
        <v>4</v>
      </c>
      <c r="AE8" t="s">
        <v>13</v>
      </c>
      <c r="AF8" t="s">
        <v>230</v>
      </c>
    </row>
    <row r="9" spans="2:32" ht="15.5" x14ac:dyDescent="0.35">
      <c r="B9" s="16"/>
      <c r="C9" s="17"/>
      <c r="D9" s="17"/>
      <c r="E9" s="17"/>
      <c r="F9" s="17"/>
      <c r="G9" s="17"/>
      <c r="H9" s="17"/>
      <c r="I9" s="17"/>
      <c r="J9" s="38" t="str">
        <f>_xlfn.CONCAT("Weekly Average (", IF(ISBLANK($R$6),"",$R$6), ")")</f>
        <v>Weekly Average ()</v>
      </c>
      <c r="K9" s="38"/>
      <c r="L9" s="38"/>
      <c r="M9" s="38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231</v>
      </c>
      <c r="R9" t="s">
        <v>232</v>
      </c>
      <c r="S9" t="s">
        <v>233</v>
      </c>
      <c r="T9" t="s">
        <v>234</v>
      </c>
      <c r="U9" t="s">
        <v>235</v>
      </c>
      <c r="V9" t="s">
        <v>236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#N/A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9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0" spans="2:32" ht="15.5" x14ac:dyDescent="0.35">
      <c r="B10" s="16"/>
      <c r="C10" s="17"/>
      <c r="D10" s="17"/>
      <c r="E10" s="17"/>
      <c r="F10" s="17"/>
      <c r="G10" s="17"/>
      <c r="H10" s="17"/>
      <c r="I10" s="17"/>
      <c r="J10" s="38" t="str">
        <f>_xlfn.CONCAT("Average Past 4 Weeks (", IF(ISBLANK($R$6),"",$R$6), ")")</f>
        <v>Average Past 4 Weeks ()</v>
      </c>
      <c r="K10" s="38"/>
      <c r="L10" s="38"/>
      <c r="M10" s="38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237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#N/A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0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1" spans="2:32" ht="15.5" x14ac:dyDescent="0.35">
      <c r="B11" s="16"/>
      <c r="C11" s="17"/>
      <c r="D11" s="17"/>
      <c r="E11" s="17"/>
      <c r="F11" s="17"/>
      <c r="G11" s="17"/>
      <c r="H11" s="17"/>
      <c r="I11" s="17"/>
      <c r="J11" s="38" t="str">
        <f>_xlfn.CONCAT("On Schedule Average (", IF(ISBLANK($R$6),"",$R$6), ")")</f>
        <v>On Schedule Average ()</v>
      </c>
      <c r="K11" s="38"/>
      <c r="L11" s="38"/>
      <c r="M11" s="38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238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#N/A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1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2" spans="2:32" ht="15.5" x14ac:dyDescent="0.35">
      <c r="B12" s="16"/>
      <c r="C12" s="17"/>
      <c r="D12" s="17"/>
      <c r="E12" s="17"/>
      <c r="F12" s="17"/>
      <c r="G12" s="17"/>
      <c r="H12" s="17"/>
      <c r="I12" s="17"/>
      <c r="J12" s="39" t="s">
        <v>239</v>
      </c>
      <c r="K12" s="39"/>
      <c r="L12" s="39"/>
      <c r="M12" s="39"/>
      <c r="N12" s="40">
        <f ca="1">$R$5</f>
        <v>0</v>
      </c>
      <c r="O12" s="41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238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#N/A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2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3" spans="2:32" ht="15.5" x14ac:dyDescent="0.35">
      <c r="B13" s="16"/>
      <c r="C13" s="17"/>
      <c r="D13" s="17"/>
      <c r="E13" s="17"/>
      <c r="F13" s="17"/>
      <c r="G13" s="17"/>
      <c r="H13" s="17"/>
      <c r="I13" s="17"/>
      <c r="J13" s="39" t="s">
        <v>240</v>
      </c>
      <c r="K13" s="39"/>
      <c r="L13" s="39"/>
      <c r="M13" s="39"/>
      <c r="N13" s="40" t="e">
        <f ca="1">$R$3+ROUNDUP(($T$4-$T$5)/($O$10/IF($R$7="NO", 5,6)),0)+(TRUNC(ROUNDUP(($T$4-$T$5)/($O$10/IF($R$7="NO", 5,6)),0)/7)*IF($R$7="NO",2,1))</f>
        <v>#N/A</v>
      </c>
      <c r="O13" s="42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238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#N/A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3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4" spans="2:32" ht="15.75" customHeight="1" x14ac:dyDescent="0.35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34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11/27/2017.</v>
      </c>
      <c r="M14" s="34"/>
      <c r="N14" s="34"/>
      <c r="O14" s="35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238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#N/A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4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5" spans="2:32" ht="16.5" customHeight="1" thickBot="1" x14ac:dyDescent="0.4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36"/>
      <c r="M15" s="36"/>
      <c r="N15" s="36"/>
      <c r="O15" s="37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238</v>
      </c>
    </row>
    <row r="16" spans="2:32" ht="15.5" x14ac:dyDescent="0.35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238</v>
      </c>
    </row>
    <row r="17" spans="2:22" ht="15.5" x14ac:dyDescent="0.3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238</v>
      </c>
    </row>
    <row r="18" spans="2:22" ht="15.5" x14ac:dyDescent="0.3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238</v>
      </c>
    </row>
    <row r="19" spans="2:22" ht="15.5" x14ac:dyDescent="0.3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238</v>
      </c>
    </row>
    <row r="20" spans="2:22" ht="15.5" x14ac:dyDescent="0.3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238</v>
      </c>
    </row>
    <row r="21" spans="2:22" ht="15.5" x14ac:dyDescent="0.3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238</v>
      </c>
    </row>
    <row r="22" spans="2:22" ht="15.5" x14ac:dyDescent="0.3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238</v>
      </c>
    </row>
    <row r="23" spans="2:22" ht="15.5" x14ac:dyDescent="0.3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5" x14ac:dyDescent="0.35">
      <c r="B24" s="16"/>
      <c r="C24" s="17" t="s">
        <v>241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5" x14ac:dyDescent="0.3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5" x14ac:dyDescent="0.3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5" x14ac:dyDescent="0.3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5" x14ac:dyDescent="0.3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5" x14ac:dyDescent="0.3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5" x14ac:dyDescent="0.3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5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5" x14ac:dyDescent="0.3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5" x14ac:dyDescent="0.3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5" x14ac:dyDescent="0.3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5" x14ac:dyDescent="0.3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5" x14ac:dyDescent="0.3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5" x14ac:dyDescent="0.35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5" x14ac:dyDescent="0.3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5" x14ac:dyDescent="0.3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6" thickBot="1" x14ac:dyDescent="0.4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35"/>
    <row r="80" ht="21" customHeight="1" x14ac:dyDescent="0.35"/>
  </sheetData>
  <mergeCells count="23"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conditionalFormatting sqref="T4 V4">
    <cfRule type="expression" dxfId="15" priority="5">
      <formula>$V$4&lt;&gt;$T$4</formula>
    </cfRule>
  </conditionalFormatting>
  <conditionalFormatting sqref="V5 T5">
    <cfRule type="expression" dxfId="14" priority="4">
      <formula>$T$5&lt;&gt;$V$5</formula>
    </cfRule>
  </conditionalFormatting>
  <conditionalFormatting sqref="U10:U22">
    <cfRule type="containsErrors" dxfId="13" priority="3">
      <formula>ISERROR(U10)</formula>
    </cfRule>
  </conditionalFormatting>
  <conditionalFormatting sqref="X1:Y4">
    <cfRule type="expression" dxfId="12" priority="2">
      <formula>$T$4&lt;&gt;$V$4</formula>
    </cfRule>
  </conditionalFormatting>
  <conditionalFormatting sqref="Z1:Z7">
    <cfRule type="expression" dxfId="1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UpdateProductionPlan">
                <anchor moveWithCells="1" sizeWithCells="1">
                  <from>
                    <xdr:col>23</xdr:col>
                    <xdr:colOff>38100</xdr:colOff>
                    <xdr:row>1</xdr:row>
                    <xdr:rowOff>76200</xdr:rowOff>
                  </from>
                  <to>
                    <xdr:col>24</xdr:col>
                    <xdr:colOff>488950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UpdateDataLinks">
                <anchor moveWithCells="1" sizeWithCells="1">
                  <from>
                    <xdr:col>23</xdr:col>
                    <xdr:colOff>38100</xdr:colOff>
                    <xdr:row>4</xdr:row>
                    <xdr:rowOff>38100</xdr:rowOff>
                  </from>
                  <to>
                    <xdr:col>24</xdr:col>
                    <xdr:colOff>488950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UpdateProduction">
                <anchor moveWithCells="1" sizeWithCells="1">
                  <from>
                    <xdr:col>25</xdr:col>
                    <xdr:colOff>69850</xdr:colOff>
                    <xdr:row>1</xdr:row>
                    <xdr:rowOff>88900</xdr:rowOff>
                  </from>
                  <to>
                    <xdr:col>25</xdr:col>
                    <xdr:colOff>1803400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ExportActiveTrade">
                <anchor moveWithCells="1" sizeWithCells="1">
                  <from>
                    <xdr:col>26</xdr:col>
                    <xdr:colOff>0</xdr:colOff>
                    <xdr:row>1</xdr:row>
                    <xdr:rowOff>76200</xdr:rowOff>
                  </from>
                  <to>
                    <xdr:col>27</xdr:col>
                    <xdr:colOff>952500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ImportQL</vt:lpstr>
      <vt:lpstr>Template</vt:lpstr>
      <vt:lpstr>Settings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2020-01-21T22:17:47Z</dcterms:modified>
</cp:coreProperties>
</file>